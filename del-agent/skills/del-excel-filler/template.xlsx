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HuaweiMoveData\Users\lyh\Desktop\AI-Aesthetic-Judge\AI-Aesthetic-Judge\del-agent\skills\del-excel-filler\"/>
    </mc:Choice>
  </mc:AlternateContent>
  <xr:revisionPtr revIDLastSave="0" documentId="13_ncr:1_{950F1D18-5EB0-4045-99F5-B15BD1F6170B}" xr6:coauthVersionLast="47" xr6:coauthVersionMax="47" xr10:uidLastSave="{00000000-0000-0000-0000-000000000000}"/>
  <bookViews>
    <workbookView xWindow="11400" yWindow="3336" windowWidth="11640" windowHeight="9960" xr2:uid="{00000000-000D-0000-FFFF-FFFF00000000}"/>
  </bookViews>
  <sheets>
    <sheet name="服务岗位面试评价表" sheetId="7" r:id="rId1"/>
    <sheet name="录用规则" sheetId="8" r:id="rId2"/>
    <sheet name="评分标准" sheetId="9" r:id="rId3"/>
  </sheets>
  <definedNames>
    <definedName name="_xlnm._FilterDatabase" localSheetId="0" hidden="1">服务岗位面试评价表!$B$1:$N$30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" i="7" l="1"/>
</calcChain>
</file>

<file path=xl/sharedStrings.xml><?xml version="1.0" encoding="utf-8"?>
<sst xmlns="http://schemas.openxmlformats.org/spreadsheetml/2006/main" count="212" uniqueCount="139">
  <si>
    <t>基本信息</t>
  </si>
  <si>
    <t>初试</t>
  </si>
  <si>
    <t>线下协同初试</t>
  </si>
  <si>
    <t>复试</t>
  </si>
  <si>
    <t>终试</t>
  </si>
  <si>
    <t>候选人姓名</t>
  </si>
  <si>
    <t>籍贯</t>
  </si>
  <si>
    <t>出生年月/民族/身高/体重</t>
  </si>
  <si>
    <t>面试官</t>
  </si>
  <si>
    <t>复试官</t>
  </si>
  <si>
    <t>终试官</t>
  </si>
  <si>
    <t>应聘岗位</t>
  </si>
  <si>
    <t>城市</t>
  </si>
  <si>
    <t>原公司类型</t>
  </si>
  <si>
    <t>打不过的竞争对手</t>
  </si>
  <si>
    <t>第一学历学校</t>
  </si>
  <si>
    <t>专业</t>
  </si>
  <si>
    <t>面试方式</t>
  </si>
  <si>
    <t>月底薪</t>
  </si>
  <si>
    <t>绩效/奖金</t>
  </si>
  <si>
    <t>人才类型（必选）</t>
  </si>
  <si>
    <t>A4-A6</t>
  </si>
  <si>
    <t>HR</t>
  </si>
  <si>
    <t>直接上级</t>
  </si>
  <si>
    <t>人才来源</t>
  </si>
  <si>
    <t>简历识别</t>
  </si>
  <si>
    <t>亮点、疑点和风险点（黑白灰清单项）</t>
  </si>
  <si>
    <t>面试识别</t>
  </si>
  <si>
    <t>考核维度</t>
  </si>
  <si>
    <t>面试评分(100分制)</t>
  </si>
  <si>
    <t>评分依据</t>
  </si>
  <si>
    <t>面试评分</t>
  </si>
  <si>
    <t>AI能力</t>
  </si>
  <si>
    <t>底色</t>
  </si>
  <si>
    <t>兴趣</t>
  </si>
  <si>
    <t>智商（50%）</t>
  </si>
  <si>
    <t>数学成绩（45%）</t>
  </si>
  <si>
    <t>毕业院校（35%）</t>
  </si>
  <si>
    <t>简化能力（20%）</t>
  </si>
  <si>
    <t>狼性（30%）</t>
  </si>
  <si>
    <t>情商（20%）</t>
  </si>
  <si>
    <t>岗位三板斧</t>
  </si>
  <si>
    <t>快</t>
  </si>
  <si>
    <t>硬能力（50%）</t>
  </si>
  <si>
    <t>软能力（30%）</t>
  </si>
  <si>
    <t>态度（20%）</t>
  </si>
  <si>
    <t>单元三板斧</t>
  </si>
  <si>
    <t>画施工图（30%）</t>
  </si>
  <si>
    <t>选好骨干（50%）</t>
  </si>
  <si>
    <t>提高人效（20%）</t>
  </si>
  <si>
    <t>结果</t>
  </si>
  <si>
    <t>/</t>
  </si>
  <si>
    <t>总分（100分）</t>
  </si>
  <si>
    <t>面试结果</t>
  </si>
  <si>
    <t>级别建议</t>
  </si>
  <si>
    <t>薪资建议</t>
  </si>
  <si>
    <t>说服建议</t>
  </si>
  <si>
    <t>其他建议</t>
  </si>
  <si>
    <t>合议讨论</t>
  </si>
  <si>
    <t>复试&amp;终试领导合议项</t>
  </si>
  <si>
    <t>合议内容</t>
  </si>
  <si>
    <t>合议结果</t>
  </si>
  <si>
    <t>级别：</t>
  </si>
  <si>
    <t>薪资：</t>
  </si>
  <si>
    <t>说明：</t>
  </si>
  <si>
    <t>1、人才类型必选项</t>
  </si>
  <si>
    <t>2、AI能力和兴趣不计入总分，＜80分，一票否决。</t>
  </si>
  <si>
    <t>3、非单元负责人需识别AI能力+底色+岗位三板斧，</t>
  </si>
  <si>
    <t>4、单元负责人需识别AI能力+底色+岗位三板斧+单元三板斧</t>
  </si>
  <si>
    <t>4、A1-A3岗位重点识别AI能力+底色，对岗位三板斧无硬性要求</t>
  </si>
  <si>
    <t>录用评估表（100分制）</t>
  </si>
  <si>
    <t>考核项</t>
  </si>
  <si>
    <t>权重</t>
  </si>
  <si>
    <t>打分</t>
  </si>
  <si>
    <t>评估标准（AI实现）</t>
  </si>
  <si>
    <t>人力资源打分</t>
  </si>
  <si>
    <t>用人单位打分</t>
  </si>
  <si>
    <t>得分</t>
  </si>
  <si>
    <t>非单元</t>
  </si>
  <si>
    <t>单元</t>
  </si>
  <si>
    <t>A1-A3</t>
  </si>
  <si>
    <t>P1-P3</t>
  </si>
  <si>
    <t>P4-P6</t>
  </si>
  <si>
    <t>A7-A9</t>
  </si>
  <si>
    <t>M1-M3</t>
  </si>
  <si>
    <t>≥80</t>
  </si>
  <si>
    <t>智商</t>
  </si>
  <si>
    <t>狼性</t>
  </si>
  <si>
    <t>情商</t>
  </si>
  <si>
    <t>≥70</t>
  </si>
  <si>
    <t>≥68</t>
  </si>
  <si>
    <t>≥76</t>
  </si>
  <si>
    <t>≥84</t>
  </si>
  <si>
    <t>≥81</t>
  </si>
  <si>
    <t>画施工图</t>
  </si>
  <si>
    <t>选好骨干</t>
  </si>
  <si>
    <t>≥90</t>
  </si>
  <si>
    <t>提高人效</t>
  </si>
  <si>
    <t>结论</t>
  </si>
  <si>
    <t>录用</t>
  </si>
  <si>
    <t>总分</t>
  </si>
  <si>
    <t>合议</t>
  </si>
  <si>
    <t>≥73</t>
  </si>
  <si>
    <t>≥77</t>
  </si>
  <si>
    <t>≥78</t>
  </si>
  <si>
    <t>≥82</t>
  </si>
  <si>
    <t>淘汰</t>
  </si>
  <si>
    <t>&lt;73</t>
  </si>
  <si>
    <t>&lt;77</t>
  </si>
  <si>
    <t>&lt;81</t>
  </si>
  <si>
    <t>&lt;78</t>
  </si>
  <si>
    <t>&lt;82</t>
  </si>
  <si>
    <t>及格线</t>
  </si>
  <si>
    <t>评分标准</t>
  </si>
  <si>
    <r>
      <rPr>
        <sz val="9"/>
        <color rgb="FF000000"/>
        <rFont val="Microsoft YaHei"/>
        <charset val="134"/>
      </rPr>
      <t>90–100：主动拥抱 AI，精通各类 AI 辅助工具，能智能分析日志、定位故障、优化 SQL 与巡检脚本；显著提升故障处理效率、数据库稳定性与优化效果，人效与交付质量远超团队平均水平；持续学习前沿 AI 技术并落地应用，积极带动团队提升 AI 运维能力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80-89：认可 AI 价值，熟练使用主流 AI 工具辅助日志排查、问题诊断、SQL 优化与日常巡检；运维效率与问题解决质量提升明显，主动关注 AI 在数据库领域的新应用，并乐于在团队内分享实操经验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0：被动使用AI，掌握基础功能；能完成简单任务但深度不够，效率提升不明显；不排斥学习但主动性弱，分享少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0：尝试使用AI但不得法，效果差甚至降低效率；偶有抵触情绪，学习意愿低，未带来实际效益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0：拒绝使用AI，否定其价值；固守旧方法，效率低下；抵制学习，躺平摆烂，阻碍团队数字化进程</t>
    </r>
  </si>
  <si>
    <r>
      <rPr>
        <sz val="9"/>
        <color rgb="FF000000"/>
        <rFont val="Microsoft YaHei"/>
        <charset val="134"/>
      </rPr>
      <t>90–100：热爱服务与交付，以客户成功为成就，主动解决问题、扛事、优化。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80–89：认可服务价值，责任心强，主动跟进，耐心抗压。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0分：不排斥服务，能按流程完成，耐心尚可。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0分：兴趣一般，被动响应，易烦躁。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0分：讨厌服务、怕客户、怕麻烦，推诿敷衍。</t>
    </r>
  </si>
  <si>
    <r>
      <rPr>
        <sz val="9"/>
        <color rgb="FF000000"/>
        <rFont val="Microsoft YaHei"/>
        <charset val="134"/>
      </rPr>
      <t>100：数理竞赛 国奖 / 省一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90：高考数学 ≥ 135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80：高考数学≥211平均分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0：高考数学＜211平均分</t>
    </r>
  </si>
  <si>
    <r>
      <rPr>
        <sz val="9"/>
        <color rgb="FF000000"/>
        <rFont val="Microsoft YaHei"/>
        <charset val="134"/>
      </rPr>
      <t>100: 中档985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95：211专业对口和低档985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90：211对口以外的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85：双一流专业对口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80：普通本科专业对口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0：低于普通本科对口</t>
    </r>
  </si>
  <si>
    <r>
      <rPr>
        <sz val="9"/>
        <color rgb="FF000000"/>
        <rFont val="Microsoft YaHei"/>
        <charset val="134"/>
      </rPr>
      <t>100：一眼穿透本质，复杂→极简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90：结构化梳理，剔除冗余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80：能讲清楚，但不够精炼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0：重点模糊，表达偏散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0：越讲越复杂，无结构</t>
    </r>
  </si>
  <si>
    <r>
      <rPr>
        <sz val="9"/>
        <color rgb="FF000000"/>
        <rFont val="Microsoft YaHei"/>
        <charset val="134"/>
      </rPr>
      <t>90–100：极度耐心稳定，先安抚再解决，扛压扛委屈，能化解冲突、建立信任。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80–89：情绪稳定，会安抚客户，冲突理性处理。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70–79：基本耐心，职业规范内沟通正常。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0：耐心不足，易烦躁，态度易受影响。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0：情绪易爆，怼客户、甩脸色，破坏口碑。</t>
    </r>
  </si>
  <si>
    <r>
      <rPr>
        <sz val="9"/>
        <color rgb="FF000000"/>
        <rFont val="Microsoft YaHei"/>
        <charset val="134"/>
      </rPr>
      <t>90–100：问题不解决不离场，紧急故障主动扛，再苦再累也要交付成功。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80–89：以客户成功为底线，敢担责、不甩锅，问题闭环到底。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0：能按要求完成交付，有基本责任心。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0：怕麻烦怕加班，被动应付，主动性弱。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0：怕担责、敷衍推诿、情绪优先。</t>
    </r>
  </si>
  <si>
    <r>
      <rPr>
        <sz val="9"/>
        <color rgb="FF000000"/>
        <rFont val="Microsoft YaHei"/>
        <charset val="134"/>
      </rPr>
      <t>80-100：非常积极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60-80：积极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0：不积极</t>
    </r>
  </si>
  <si>
    <t>95~100分：硬能力认证 5级
90~95分：硬能力认证 4级
80~90分：硬能力认证 3级
70~80分：硬能力认证2级
60~70分：硬能力认证1级
&lt;60分：不合格，淘汰</t>
  </si>
  <si>
    <r>
      <rPr>
        <sz val="9"/>
        <color rgb="FF000000"/>
        <rFont val="Microsoft YaHei"/>
        <charset val="134"/>
      </rPr>
      <t>95~100分：软能力认证 5级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90~95分：软能力认证 4级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80~90分：软能力认证 3级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70~80分：软能力认证 2级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60~70分：软能力认证 1级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&lt;60分：不合格，淘汰</t>
    </r>
  </si>
  <si>
    <t>收款</t>
  </si>
  <si>
    <r>
      <rPr>
        <sz val="9"/>
        <color rgb="FF000000"/>
        <rFont val="Microsoft YaHei"/>
        <charset val="134"/>
      </rPr>
      <t>收款及时率同档排名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80-100：5级：及时率排名top 10%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60-80：4级：及时率排名top 30%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40-60：3级：及时率排名top 70%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20-40：2级：及时率排名top 90%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0-20：1级：及时率排名后10%</t>
    </r>
  </si>
  <si>
    <t>扩项</t>
  </si>
  <si>
    <r>
      <rPr>
        <sz val="9"/>
        <color rgb="FF000000"/>
        <rFont val="Microsoft YaHei"/>
        <charset val="134"/>
      </rPr>
      <t>扩项金额同档排名：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80-100：5级：扩项排名top 10%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60-80：4级：扩项排名top 30%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40-60：3级：扩项排名top 70%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20-40：2级：扩项排名top 90%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0-20：1级：扩项排名后10%</t>
    </r>
  </si>
  <si>
    <t>赢单（POC适用，替代收款+扩项）</t>
  </si>
  <si>
    <r>
      <rPr>
        <sz val="9"/>
        <color rgb="FF000000"/>
        <rFont val="Microsoft YaHei"/>
        <charset val="134"/>
      </rPr>
      <t>人效+签单率 同档排名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80-100：5级：人效+签单率 排名top 10%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60-80：4级：人效+签单率 排名top 30%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40-60：3级：人效+签单率 排名top 70%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20-40：2级：人效+签单率 排名top 90%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0-20：1级：人效+签单率 排名后10%</t>
    </r>
  </si>
  <si>
    <r>
      <rPr>
        <sz val="9"/>
        <color rgb="FF000000"/>
        <rFont val="Microsoft YaHei"/>
        <charset val="134"/>
      </rPr>
      <t>90-100：慧眼识人，精准识别高潜，敢于任用能力强于自己的人；人岗匹配、用人所长，骨干梯队健康、不断涌现。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80-89：能识别优秀人才，任用基本合理；骨干队伍稳定，能支撑业务，偶有偏差能及时调整。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70-79：识人眼光一般，任用存在错配，但骨干队伍基本稳定。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60-69：识人眼光差，频繁用错人；骨干流失严重或长期空缺，影响团队战斗力。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&lt;60：嫉贤妒能，压制人才；团队投诉多；团队无骨干或骨干全是庸才，团队溃散。</t>
    </r>
  </si>
  <si>
    <r>
      <rPr>
        <sz val="9"/>
        <color rgb="FF000000"/>
        <rFont val="Microsoft YaHei"/>
        <charset val="134"/>
      </rPr>
      <t>90-100：精准拆解战略目标，路径清晰、节点明确、资源匹配合理；预见性识别关键风险并提前布局；团队对目标和节奏高度认同，执行顺畅无偏差。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80-89：能制定清晰计划，目标拆解合理，关键节点明确；主要风险有预案，执行基本顺畅，偶需微调。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70-79：计划基本可行，但细节不够完善或资源考虑不周；风险识别不全，执行中需多次调整方向。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60-69：计划粗糙，拆解不清，路径模糊；风险频发且应对被动，执行混乱，多次返工或延期。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&lt;60：无计划或计划完全不可行，项目推进失控，频繁失败。</t>
    </r>
  </si>
  <si>
    <t>提升人效</t>
  </si>
  <si>
    <r>
      <rPr>
        <sz val="9"/>
        <color rgb="FF000000"/>
        <rFont val="Microsoft YaHei"/>
        <charset val="134"/>
      </rPr>
      <t>90-100：人效显著高于同规模团队；持续优化流程、工具和方法，激发团队潜能；人才培养体系完善，新人上手快、老人持续成长。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80-89：能完成业务目标；推动流程优化和工具应用，关注人才培养，有带出骨干。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70-79：勉强完成目标；流程工具基本到位但缺乏主动优化；人才培养偶有亮点但不系统。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60-69：经常加班却产出不佳；流程混乱，工具落后，士气低落；忽视人才培养，新人成长慢。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&lt;60：产出无法支撑业务，流程僵化或缺失，士气崩坏；无人可用，成为业务瓶颈。</t>
    </r>
  </si>
  <si>
    <r>
      <rPr>
        <b/>
        <sz val="9"/>
        <color rgb="FF000000"/>
        <rFont val="Microsoft YaHei"/>
        <charset val="134"/>
      </rPr>
      <t>单元：60</t>
    </r>
    <r>
      <rPr>
        <sz val="9"/>
        <color rgb="FF000000"/>
        <rFont val="Microsoft YaHei"/>
        <charset val="134"/>
      </rPr>
      <t xml:space="preserve">
</t>
    </r>
    <r>
      <rPr>
        <b/>
        <sz val="9"/>
        <color rgb="FF000000"/>
        <rFont val="Microsoft YaHei"/>
        <charset val="134"/>
      </rPr>
      <t>非单元：50</t>
    </r>
  </si>
  <si>
    <t>评级来源</t>
  </si>
  <si>
    <r>
      <rPr>
        <sz val="9"/>
        <color rgb="FF000000"/>
        <rFont val="Microsoft YaHei"/>
        <charset val="134"/>
      </rPr>
      <t>≥90：A+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≥75：A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≥60：B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≥40：C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&lt;40: D</t>
    </r>
  </si>
  <si>
    <r>
      <rPr>
        <sz val="9"/>
        <color rgb="FF000000"/>
        <rFont val="Microsoft YaHei"/>
        <charset val="134"/>
      </rPr>
      <t>试用期：试用期目标达成情况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转正后&amp;晋级：年度目标达成情况，参考通道图</t>
    </r>
  </si>
  <si>
    <t>高考数学成绩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</si>
</sst>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等线"/>
      <charset val="134"/>
      <scheme val="minor"/>
    </font>
    <font>
      <b/>
      <sz val="9"/>
      <color rgb="FFFFFFFF"/>
      <name val="Microsoft YaHei"/>
      <charset val="134"/>
    </font>
    <font>
      <b/>
      <sz val="9"/>
      <color rgb="FF000000"/>
      <name val="Microsoft YaHei"/>
      <charset val="134"/>
    </font>
    <font>
      <sz val="9"/>
      <color rgb="FF000000"/>
      <name val="Microsoft YaHei"/>
      <charset val="134"/>
    </font>
    <font>
      <b/>
      <sz val="12"/>
      <color rgb="FFFFFFFF"/>
      <name val="微软雅黑 Light"/>
      <charset val="134"/>
    </font>
    <font>
      <b/>
      <sz val="10"/>
      <color rgb="FFFFFFFF"/>
      <name val="微软雅黑 Light"/>
      <charset val="134"/>
    </font>
    <font>
      <b/>
      <sz val="10"/>
      <color rgb="FFFFFFFF"/>
      <name val="等线"/>
      <charset val="134"/>
      <scheme val="minor"/>
    </font>
    <font>
      <b/>
      <sz val="10"/>
      <color rgb="FF000000"/>
      <name val="微软雅黑 Light"/>
      <charset val="134"/>
    </font>
    <font>
      <sz val="10"/>
      <color rgb="FF000000"/>
      <name val="微软雅黑 Light"/>
      <charset val="134"/>
    </font>
    <font>
      <sz val="10"/>
      <color rgb="FFFF0000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theme="0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等线"/>
      <charset val="134"/>
      <scheme val="minor"/>
    </font>
    <font>
      <b/>
      <sz val="11"/>
      <color theme="0"/>
      <name val="微软雅黑"/>
      <charset val="134"/>
    </font>
    <font>
      <sz val="9"/>
      <color rgb="FF000000"/>
      <name val="Microsoft YaHei UI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19">
    <fill>
      <patternFill patternType="none"/>
    </fill>
    <fill>
      <patternFill patternType="gray125"/>
    </fill>
    <fill>
      <patternFill patternType="solid">
        <fgColor rgb="FFEE822F"/>
        <bgColor indexed="64"/>
      </patternFill>
    </fill>
    <fill>
      <patternFill patternType="solid">
        <fgColor rgb="FFF8882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9" tint="0.7997375408185064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9" tint="0.799676503799554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9" tint="0.79976805932798245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9" fontId="8" fillId="0" borderId="4" xfId="0" applyNumberFormat="1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vertical="center" wrapText="1"/>
    </xf>
    <xf numFmtId="0" fontId="12" fillId="0" borderId="13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 wrapText="1"/>
    </xf>
    <xf numFmtId="0" fontId="12" fillId="0" borderId="12" xfId="0" applyFont="1" applyBorder="1" applyAlignment="1" applyProtection="1">
      <alignment horizontal="left" vertical="center"/>
      <protection locked="0"/>
    </xf>
    <xf numFmtId="0" fontId="12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vertical="center"/>
    </xf>
    <xf numFmtId="0" fontId="14" fillId="0" borderId="12" xfId="0" applyFont="1" applyBorder="1" applyAlignment="1">
      <alignment horizontal="left" vertical="center" wrapText="1"/>
    </xf>
    <xf numFmtId="0" fontId="15" fillId="0" borderId="12" xfId="0" applyFont="1" applyBorder="1" applyAlignment="1" applyProtection="1">
      <alignment horizontal="left" vertical="center"/>
      <protection locked="0"/>
    </xf>
    <xf numFmtId="0" fontId="14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4" fillId="0" borderId="12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5" fillId="0" borderId="16" xfId="0" applyFont="1" applyBorder="1" applyAlignment="1">
      <alignment vertical="center"/>
    </xf>
    <xf numFmtId="0" fontId="15" fillId="0" borderId="17" xfId="0" applyFont="1" applyBorder="1" applyAlignment="1">
      <alignment vertical="center"/>
    </xf>
    <xf numFmtId="0" fontId="15" fillId="0" borderId="18" xfId="0" applyFont="1" applyBorder="1" applyAlignment="1">
      <alignment vertical="center"/>
    </xf>
    <xf numFmtId="0" fontId="14" fillId="13" borderId="12" xfId="0" applyFont="1" applyFill="1" applyBorder="1" applyAlignment="1">
      <alignment horizontal="center" vertical="center"/>
    </xf>
    <xf numFmtId="0" fontId="14" fillId="14" borderId="16" xfId="0" applyFont="1" applyFill="1" applyBorder="1" applyAlignment="1">
      <alignment horizontal="center" vertical="center" wrapText="1"/>
    </xf>
    <xf numFmtId="0" fontId="14" fillId="15" borderId="16" xfId="0" applyFont="1" applyFill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/>
    </xf>
    <xf numFmtId="0" fontId="15" fillId="0" borderId="16" xfId="0" applyFont="1" applyBorder="1" applyAlignment="1">
      <alignment vertical="center" wrapText="1"/>
    </xf>
    <xf numFmtId="0" fontId="15" fillId="0" borderId="18" xfId="0" applyFont="1" applyBorder="1" applyAlignment="1">
      <alignment vertical="center" wrapText="1"/>
    </xf>
    <xf numFmtId="0" fontId="10" fillId="0" borderId="12" xfId="0" applyFont="1" applyBorder="1" applyAlignment="1">
      <alignment horizontal="center" vertical="center"/>
    </xf>
    <xf numFmtId="0" fontId="14" fillId="8" borderId="16" xfId="0" applyFont="1" applyFill="1" applyBorder="1" applyAlignment="1">
      <alignment horizontal="left" vertical="center" wrapText="1"/>
    </xf>
    <xf numFmtId="0" fontId="14" fillId="8" borderId="12" xfId="0" applyFont="1" applyFill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/>
    </xf>
    <xf numFmtId="0" fontId="15" fillId="8" borderId="22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16" fillId="14" borderId="12" xfId="0" applyFont="1" applyFill="1" applyBorder="1" applyAlignment="1">
      <alignment horizontal="center" vertical="center" wrapText="1"/>
    </xf>
    <xf numFmtId="0" fontId="16" fillId="8" borderId="12" xfId="0" applyFont="1" applyFill="1" applyBorder="1" applyAlignment="1">
      <alignment horizontal="center" vertical="center" wrapText="1"/>
    </xf>
    <xf numFmtId="0" fontId="12" fillId="0" borderId="0" xfId="0" applyFont="1"/>
    <xf numFmtId="0" fontId="15" fillId="0" borderId="0" xfId="0" applyFont="1" applyAlignment="1">
      <alignment vertical="center"/>
    </xf>
    <xf numFmtId="0" fontId="17" fillId="4" borderId="0" xfId="0" applyFont="1" applyFill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5" fillId="17" borderId="12" xfId="0" applyFont="1" applyFill="1" applyBorder="1" applyAlignment="1">
      <alignment horizontal="center" vertical="center"/>
    </xf>
    <xf numFmtId="0" fontId="15" fillId="18" borderId="12" xfId="0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0" fontId="15" fillId="16" borderId="12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14" borderId="16" xfId="0" applyFont="1" applyFill="1" applyBorder="1" applyAlignment="1">
      <alignment horizontal="center" vertical="center" wrapText="1"/>
    </xf>
    <xf numFmtId="0" fontId="15" fillId="14" borderId="18" xfId="0" applyFont="1" applyFill="1" applyBorder="1" applyAlignment="1">
      <alignment horizontal="center" vertical="center" wrapText="1"/>
    </xf>
    <xf numFmtId="0" fontId="15" fillId="15" borderId="16" xfId="0" applyFont="1" applyFill="1" applyBorder="1" applyAlignment="1">
      <alignment horizontal="center" vertical="center" wrapText="1"/>
    </xf>
    <xf numFmtId="0" fontId="15" fillId="15" borderId="18" xfId="0" applyFont="1" applyFill="1" applyBorder="1" applyAlignment="1">
      <alignment horizontal="center" vertical="center" wrapText="1"/>
    </xf>
    <xf numFmtId="0" fontId="15" fillId="8" borderId="16" xfId="0" applyFont="1" applyFill="1" applyBorder="1" applyAlignment="1">
      <alignment horizontal="center" vertical="center" wrapText="1"/>
    </xf>
    <xf numFmtId="0" fontId="15" fillId="8" borderId="18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14" fillId="14" borderId="16" xfId="0" applyFont="1" applyFill="1" applyBorder="1" applyAlignment="1">
      <alignment horizontal="left" vertical="center" wrapText="1"/>
    </xf>
    <xf numFmtId="0" fontId="14" fillId="14" borderId="18" xfId="0" applyFont="1" applyFill="1" applyBorder="1" applyAlignment="1">
      <alignment horizontal="left" vertical="center" wrapText="1"/>
    </xf>
    <xf numFmtId="0" fontId="14" fillId="15" borderId="16" xfId="0" applyFont="1" applyFill="1" applyBorder="1" applyAlignment="1">
      <alignment horizontal="left" vertical="center" wrapText="1"/>
    </xf>
    <xf numFmtId="0" fontId="14" fillId="15" borderId="18" xfId="0" applyFont="1" applyFill="1" applyBorder="1" applyAlignment="1">
      <alignment horizontal="left" vertical="center" wrapText="1"/>
    </xf>
    <xf numFmtId="0" fontId="14" fillId="8" borderId="16" xfId="0" applyFont="1" applyFill="1" applyBorder="1" applyAlignment="1">
      <alignment horizontal="left" vertical="center" wrapText="1"/>
    </xf>
    <xf numFmtId="0" fontId="14" fillId="8" borderId="18" xfId="0" applyFont="1" applyFill="1" applyBorder="1" applyAlignment="1">
      <alignment horizontal="left" vertical="center" wrapText="1"/>
    </xf>
    <xf numFmtId="0" fontId="14" fillId="13" borderId="22" xfId="0" applyFont="1" applyFill="1" applyBorder="1" applyAlignment="1">
      <alignment horizontal="left" vertical="center" wrapText="1"/>
    </xf>
    <xf numFmtId="0" fontId="14" fillId="14" borderId="19" xfId="0" applyFont="1" applyFill="1" applyBorder="1" applyAlignment="1">
      <alignment horizontal="center" vertical="center" wrapText="1"/>
    </xf>
    <xf numFmtId="0" fontId="14" fillId="14" borderId="21" xfId="0" applyFont="1" applyFill="1" applyBorder="1" applyAlignment="1">
      <alignment horizontal="center" vertical="center" wrapText="1"/>
    </xf>
    <xf numFmtId="0" fontId="14" fillId="15" borderId="19" xfId="0" applyFont="1" applyFill="1" applyBorder="1" applyAlignment="1">
      <alignment horizontal="center" vertical="center" wrapText="1"/>
    </xf>
    <xf numFmtId="0" fontId="14" fillId="15" borderId="21" xfId="0" applyFont="1" applyFill="1" applyBorder="1" applyAlignment="1">
      <alignment horizontal="center" vertical="center" wrapText="1"/>
    </xf>
    <xf numFmtId="0" fontId="14" fillId="8" borderId="12" xfId="0" applyFont="1" applyFill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14" borderId="12" xfId="0" applyFont="1" applyFill="1" applyBorder="1" applyAlignment="1">
      <alignment horizontal="left" vertical="center" wrapText="1"/>
    </xf>
    <xf numFmtId="0" fontId="14" fillId="15" borderId="12" xfId="0" applyFont="1" applyFill="1" applyBorder="1" applyAlignment="1">
      <alignment horizontal="left" vertical="center" wrapText="1"/>
    </xf>
    <xf numFmtId="0" fontId="14" fillId="14" borderId="16" xfId="0" applyFont="1" applyFill="1" applyBorder="1" applyAlignment="1">
      <alignment horizontal="center" vertical="center" wrapText="1"/>
    </xf>
    <xf numFmtId="0" fontId="14" fillId="14" borderId="18" xfId="0" applyFont="1" applyFill="1" applyBorder="1" applyAlignment="1">
      <alignment horizontal="center" vertical="center" wrapText="1"/>
    </xf>
    <xf numFmtId="0" fontId="14" fillId="15" borderId="16" xfId="0" applyFont="1" applyFill="1" applyBorder="1" applyAlignment="1">
      <alignment horizontal="center" vertical="center" wrapText="1"/>
    </xf>
    <xf numFmtId="0" fontId="14" fillId="15" borderId="18" xfId="0" applyFont="1" applyFill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14" fillId="8" borderId="18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left" vertical="center"/>
    </xf>
    <xf numFmtId="0" fontId="14" fillId="14" borderId="12" xfId="0" applyFont="1" applyFill="1" applyBorder="1" applyAlignment="1">
      <alignment horizontal="left" vertical="center"/>
    </xf>
    <xf numFmtId="0" fontId="14" fillId="15" borderId="12" xfId="0" applyFont="1" applyFill="1" applyBorder="1" applyAlignment="1">
      <alignment horizontal="left" vertical="center"/>
    </xf>
    <xf numFmtId="0" fontId="14" fillId="8" borderId="12" xfId="0" applyFont="1" applyFill="1" applyBorder="1" applyAlignment="1">
      <alignment horizontal="left" vertical="center"/>
    </xf>
    <xf numFmtId="0" fontId="14" fillId="0" borderId="16" xfId="0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12" fillId="11" borderId="19" xfId="0" applyFont="1" applyFill="1" applyBorder="1" applyAlignment="1">
      <alignment horizontal="center" vertical="center"/>
    </xf>
    <xf numFmtId="0" fontId="12" fillId="11" borderId="20" xfId="0" applyFont="1" applyFill="1" applyBorder="1" applyAlignment="1">
      <alignment horizontal="center" vertical="center"/>
    </xf>
    <xf numFmtId="0" fontId="12" fillId="11" borderId="21" xfId="0" applyFont="1" applyFill="1" applyBorder="1" applyAlignment="1">
      <alignment horizontal="center" vertical="center"/>
    </xf>
    <xf numFmtId="0" fontId="12" fillId="12" borderId="16" xfId="0" applyFont="1" applyFill="1" applyBorder="1" applyAlignment="1">
      <alignment horizontal="center" vertical="center"/>
    </xf>
    <xf numFmtId="0" fontId="12" fillId="12" borderId="17" xfId="0" applyFont="1" applyFill="1" applyBorder="1" applyAlignment="1">
      <alignment horizontal="center" vertical="center"/>
    </xf>
    <xf numFmtId="0" fontId="12" fillId="12" borderId="18" xfId="0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horizontal="center" vertical="center"/>
    </xf>
    <xf numFmtId="0" fontId="12" fillId="8" borderId="17" xfId="0" applyFont="1" applyFill="1" applyBorder="1" applyAlignment="1">
      <alignment horizontal="center" vertical="center"/>
    </xf>
    <xf numFmtId="0" fontId="12" fillId="8" borderId="18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12" fillId="9" borderId="16" xfId="0" applyFont="1" applyFill="1" applyBorder="1" applyAlignment="1">
      <alignment horizontal="center" vertical="center"/>
    </xf>
    <xf numFmtId="0" fontId="12" fillId="9" borderId="17" xfId="0" applyFont="1" applyFill="1" applyBorder="1" applyAlignment="1">
      <alignment horizontal="center" vertical="center"/>
    </xf>
    <xf numFmtId="0" fontId="12" fillId="9" borderId="18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/>
    </xf>
    <xf numFmtId="0" fontId="12" fillId="10" borderId="17" xfId="0" applyFont="1" applyFill="1" applyBorder="1" applyAlignment="1">
      <alignment horizontal="center" vertical="center"/>
    </xf>
    <xf numFmtId="0" fontId="12" fillId="10" borderId="18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12" fillId="7" borderId="16" xfId="0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0" fontId="12" fillId="7" borderId="18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2" fillId="7" borderId="14" xfId="0" applyFont="1" applyFill="1" applyBorder="1" applyAlignment="1">
      <alignment horizontal="center" vertical="center"/>
    </xf>
    <xf numFmtId="0" fontId="12" fillId="7" borderId="15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9" fontId="8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0" borderId="1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noThreeD="1"/>
</file>

<file path=xl/ctrlProps/ctrlProp16.xml><?xml version="1.0" encoding="utf-8"?>
<formControlPr xmlns="http://schemas.microsoft.com/office/spreadsheetml/2009/9/main" objectType="CheckBox" noThreeD="1"/>
</file>

<file path=xl/ctrlProps/ctrlProp17.xml><?xml version="1.0" encoding="utf-8"?>
<formControlPr xmlns="http://schemas.microsoft.com/office/spreadsheetml/2009/9/main" objectType="CheckBox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8</xdr:row>
          <xdr:rowOff>304800</xdr:rowOff>
        </xdr:from>
        <xdr:to>
          <xdr:col>7</xdr:col>
          <xdr:colOff>137160</xdr:colOff>
          <xdr:row>10</xdr:row>
          <xdr:rowOff>152400</xdr:rowOff>
        </xdr:to>
        <xdr:sp macro="" textlink="">
          <xdr:nvSpPr>
            <xdr:cNvPr id="6431" name="Check Box 287" hidden="1">
              <a:extLst>
                <a:ext uri="{63B3BB69-23CF-44E3-9099-C40C66FF867C}">
                  <a14:compatExt spid="_x0000_s6431"/>
                </a:ext>
                <a:ext uri="{FF2B5EF4-FFF2-40B4-BE49-F238E27FC236}">
                  <a16:creationId xmlns:a16="http://schemas.microsoft.com/office/drawing/2014/main" id="{00000000-0008-0000-0000-00001F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175260</xdr:colOff>
          <xdr:row>9</xdr:row>
          <xdr:rowOff>0</xdr:rowOff>
        </xdr:from>
        <xdr:to>
          <xdr:col>7</xdr:col>
          <xdr:colOff>914400</xdr:colOff>
          <xdr:row>10</xdr:row>
          <xdr:rowOff>167640</xdr:rowOff>
        </xdr:to>
        <xdr:sp macro="" textlink="">
          <xdr:nvSpPr>
            <xdr:cNvPr id="6432" name="Check Box 288" hidden="1">
              <a:extLst>
                <a:ext uri="{63B3BB69-23CF-44E3-9099-C40C66FF867C}">
                  <a14:compatExt spid="_x0000_s6432"/>
                </a:ext>
                <a:ext uri="{FF2B5EF4-FFF2-40B4-BE49-F238E27FC236}">
                  <a16:creationId xmlns:a16="http://schemas.microsoft.com/office/drawing/2014/main" id="{00000000-0008-0000-0000-000020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60960</xdr:colOff>
          <xdr:row>9</xdr:row>
          <xdr:rowOff>0</xdr:rowOff>
        </xdr:from>
        <xdr:to>
          <xdr:col>8</xdr:col>
          <xdr:colOff>815340</xdr:colOff>
          <xdr:row>10</xdr:row>
          <xdr:rowOff>167640</xdr:rowOff>
        </xdr:to>
        <xdr:sp macro="" textlink="">
          <xdr:nvSpPr>
            <xdr:cNvPr id="6433" name="Check Box 289" hidden="1">
              <a:extLst>
                <a:ext uri="{63B3BB69-23CF-44E3-9099-C40C66FF867C}">
                  <a14:compatExt spid="_x0000_s6433"/>
                </a:ext>
                <a:ext uri="{FF2B5EF4-FFF2-40B4-BE49-F238E27FC236}">
                  <a16:creationId xmlns:a16="http://schemas.microsoft.com/office/drawing/2014/main" id="{00000000-0008-0000-0000-000021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不确定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9</xdr:row>
          <xdr:rowOff>304800</xdr:rowOff>
        </xdr:from>
        <xdr:to>
          <xdr:col>7</xdr:col>
          <xdr:colOff>137160</xdr:colOff>
          <xdr:row>11</xdr:row>
          <xdr:rowOff>152400</xdr:rowOff>
        </xdr:to>
        <xdr:sp macro="" textlink="">
          <xdr:nvSpPr>
            <xdr:cNvPr id="6437" name="Check Box 293" hidden="1">
              <a:extLst>
                <a:ext uri="{63B3BB69-23CF-44E3-9099-C40C66FF867C}">
                  <a14:compatExt spid="_x0000_s6437"/>
                </a:ext>
                <a:ext uri="{FF2B5EF4-FFF2-40B4-BE49-F238E27FC236}">
                  <a16:creationId xmlns:a16="http://schemas.microsoft.com/office/drawing/2014/main" id="{00000000-0008-0000-0000-000025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175260</xdr:colOff>
          <xdr:row>10</xdr:row>
          <xdr:rowOff>0</xdr:rowOff>
        </xdr:from>
        <xdr:to>
          <xdr:col>7</xdr:col>
          <xdr:colOff>914400</xdr:colOff>
          <xdr:row>11</xdr:row>
          <xdr:rowOff>167640</xdr:rowOff>
        </xdr:to>
        <xdr:sp macro="" textlink="">
          <xdr:nvSpPr>
            <xdr:cNvPr id="6438" name="Check Box 294" hidden="1">
              <a:extLst>
                <a:ext uri="{63B3BB69-23CF-44E3-9099-C40C66FF867C}">
                  <a14:compatExt spid="_x0000_s6438"/>
                </a:ext>
                <a:ext uri="{FF2B5EF4-FFF2-40B4-BE49-F238E27FC236}">
                  <a16:creationId xmlns:a16="http://schemas.microsoft.com/office/drawing/2014/main" id="{00000000-0008-0000-0000-000026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60960</xdr:colOff>
          <xdr:row>10</xdr:row>
          <xdr:rowOff>0</xdr:rowOff>
        </xdr:from>
        <xdr:to>
          <xdr:col>8</xdr:col>
          <xdr:colOff>815340</xdr:colOff>
          <xdr:row>11</xdr:row>
          <xdr:rowOff>167640</xdr:rowOff>
        </xdr:to>
        <xdr:sp macro="" textlink="">
          <xdr:nvSpPr>
            <xdr:cNvPr id="6439" name="Check Box 295" hidden="1">
              <a:extLst>
                <a:ext uri="{63B3BB69-23CF-44E3-9099-C40C66FF867C}">
                  <a14:compatExt spid="_x0000_s6439"/>
                </a:ext>
                <a:ext uri="{FF2B5EF4-FFF2-40B4-BE49-F238E27FC236}">
                  <a16:creationId xmlns:a16="http://schemas.microsoft.com/office/drawing/2014/main" id="{00000000-0008-0000-0000-000027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不确定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10</xdr:row>
          <xdr:rowOff>304800</xdr:rowOff>
        </xdr:from>
        <xdr:to>
          <xdr:col>7</xdr:col>
          <xdr:colOff>137160</xdr:colOff>
          <xdr:row>12</xdr:row>
          <xdr:rowOff>152400</xdr:rowOff>
        </xdr:to>
        <xdr:sp macro="" textlink="">
          <xdr:nvSpPr>
            <xdr:cNvPr id="6440" name="Check Box 296" hidden="1">
              <a:extLst>
                <a:ext uri="{63B3BB69-23CF-44E3-9099-C40C66FF867C}">
                  <a14:compatExt spid="_x0000_s6440"/>
                </a:ext>
                <a:ext uri="{FF2B5EF4-FFF2-40B4-BE49-F238E27FC236}">
                  <a16:creationId xmlns:a16="http://schemas.microsoft.com/office/drawing/2014/main" id="{00000000-0008-0000-0000-000028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175260</xdr:colOff>
          <xdr:row>11</xdr:row>
          <xdr:rowOff>0</xdr:rowOff>
        </xdr:from>
        <xdr:to>
          <xdr:col>7</xdr:col>
          <xdr:colOff>914400</xdr:colOff>
          <xdr:row>12</xdr:row>
          <xdr:rowOff>167640</xdr:rowOff>
        </xdr:to>
        <xdr:sp macro="" textlink="">
          <xdr:nvSpPr>
            <xdr:cNvPr id="6441" name="Check Box 297" hidden="1">
              <a:extLst>
                <a:ext uri="{63B3BB69-23CF-44E3-9099-C40C66FF867C}">
                  <a14:compatExt spid="_x0000_s6441"/>
                </a:ext>
                <a:ext uri="{FF2B5EF4-FFF2-40B4-BE49-F238E27FC236}">
                  <a16:creationId xmlns:a16="http://schemas.microsoft.com/office/drawing/2014/main" id="{00000000-0008-0000-0000-000029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60960</xdr:colOff>
          <xdr:row>11</xdr:row>
          <xdr:rowOff>0</xdr:rowOff>
        </xdr:from>
        <xdr:to>
          <xdr:col>8</xdr:col>
          <xdr:colOff>815340</xdr:colOff>
          <xdr:row>12</xdr:row>
          <xdr:rowOff>167640</xdr:rowOff>
        </xdr:to>
        <xdr:sp macro="" textlink="">
          <xdr:nvSpPr>
            <xdr:cNvPr id="6442" name="Check Box 298" hidden="1">
              <a:extLst>
                <a:ext uri="{63B3BB69-23CF-44E3-9099-C40C66FF867C}">
                  <a14:compatExt spid="_x0000_s6442"/>
                </a:ext>
                <a:ext uri="{FF2B5EF4-FFF2-40B4-BE49-F238E27FC236}">
                  <a16:creationId xmlns:a16="http://schemas.microsoft.com/office/drawing/2014/main" id="{00000000-0008-0000-0000-00002A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不确定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457200</xdr:colOff>
          <xdr:row>8</xdr:row>
          <xdr:rowOff>304800</xdr:rowOff>
        </xdr:from>
        <xdr:to>
          <xdr:col>10</xdr:col>
          <xdr:colOff>30480</xdr:colOff>
          <xdr:row>10</xdr:row>
          <xdr:rowOff>152400</xdr:rowOff>
        </xdr:to>
        <xdr:sp macro="" textlink="">
          <xdr:nvSpPr>
            <xdr:cNvPr id="6443" name="Check Box 299" hidden="1">
              <a:extLst>
                <a:ext uri="{63B3BB69-23CF-44E3-9099-C40C66FF867C}">
                  <a14:compatExt spid="_x0000_s6443"/>
                </a:ext>
                <a:ext uri="{FF2B5EF4-FFF2-40B4-BE49-F238E27FC236}">
                  <a16:creationId xmlns:a16="http://schemas.microsoft.com/office/drawing/2014/main" id="{00000000-0008-0000-0000-00002B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175260</xdr:colOff>
          <xdr:row>9</xdr:row>
          <xdr:rowOff>0</xdr:rowOff>
        </xdr:from>
        <xdr:to>
          <xdr:col>10</xdr:col>
          <xdr:colOff>914400</xdr:colOff>
          <xdr:row>10</xdr:row>
          <xdr:rowOff>167640</xdr:rowOff>
        </xdr:to>
        <xdr:sp macro="" textlink="">
          <xdr:nvSpPr>
            <xdr:cNvPr id="6444" name="Check Box 300" hidden="1">
              <a:extLst>
                <a:ext uri="{63B3BB69-23CF-44E3-9099-C40C66FF867C}">
                  <a14:compatExt spid="_x0000_s6444"/>
                </a:ext>
                <a:ext uri="{FF2B5EF4-FFF2-40B4-BE49-F238E27FC236}">
                  <a16:creationId xmlns:a16="http://schemas.microsoft.com/office/drawing/2014/main" id="{00000000-0008-0000-0000-00002C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</xdr:colOff>
          <xdr:row>9</xdr:row>
          <xdr:rowOff>0</xdr:rowOff>
        </xdr:from>
        <xdr:to>
          <xdr:col>11</xdr:col>
          <xdr:colOff>815340</xdr:colOff>
          <xdr:row>10</xdr:row>
          <xdr:rowOff>167640</xdr:rowOff>
        </xdr:to>
        <xdr:sp macro="" textlink="">
          <xdr:nvSpPr>
            <xdr:cNvPr id="6445" name="Check Box 301" hidden="1">
              <a:extLst>
                <a:ext uri="{63B3BB69-23CF-44E3-9099-C40C66FF867C}">
                  <a14:compatExt spid="_x0000_s6445"/>
                </a:ext>
                <a:ext uri="{FF2B5EF4-FFF2-40B4-BE49-F238E27FC236}">
                  <a16:creationId xmlns:a16="http://schemas.microsoft.com/office/drawing/2014/main" id="{00000000-0008-0000-0000-00002D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不确定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457200</xdr:colOff>
          <xdr:row>9</xdr:row>
          <xdr:rowOff>304800</xdr:rowOff>
        </xdr:from>
        <xdr:to>
          <xdr:col>10</xdr:col>
          <xdr:colOff>30480</xdr:colOff>
          <xdr:row>11</xdr:row>
          <xdr:rowOff>152400</xdr:rowOff>
        </xdr:to>
        <xdr:sp macro="" textlink="">
          <xdr:nvSpPr>
            <xdr:cNvPr id="6446" name="Check Box 302" hidden="1">
              <a:extLst>
                <a:ext uri="{63B3BB69-23CF-44E3-9099-C40C66FF867C}">
                  <a14:compatExt spid="_x0000_s6446"/>
                </a:ext>
                <a:ext uri="{FF2B5EF4-FFF2-40B4-BE49-F238E27FC236}">
                  <a16:creationId xmlns:a16="http://schemas.microsoft.com/office/drawing/2014/main" id="{00000000-0008-0000-0000-00002E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175260</xdr:colOff>
          <xdr:row>10</xdr:row>
          <xdr:rowOff>0</xdr:rowOff>
        </xdr:from>
        <xdr:to>
          <xdr:col>10</xdr:col>
          <xdr:colOff>914400</xdr:colOff>
          <xdr:row>11</xdr:row>
          <xdr:rowOff>167640</xdr:rowOff>
        </xdr:to>
        <xdr:sp macro="" textlink="">
          <xdr:nvSpPr>
            <xdr:cNvPr id="6447" name="Check Box 303" hidden="1">
              <a:extLst>
                <a:ext uri="{63B3BB69-23CF-44E3-9099-C40C66FF867C}">
                  <a14:compatExt spid="_x0000_s6447"/>
                </a:ext>
                <a:ext uri="{FF2B5EF4-FFF2-40B4-BE49-F238E27FC236}">
                  <a16:creationId xmlns:a16="http://schemas.microsoft.com/office/drawing/2014/main" id="{00000000-0008-0000-0000-00002F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</xdr:colOff>
          <xdr:row>10</xdr:row>
          <xdr:rowOff>0</xdr:rowOff>
        </xdr:from>
        <xdr:to>
          <xdr:col>11</xdr:col>
          <xdr:colOff>815340</xdr:colOff>
          <xdr:row>11</xdr:row>
          <xdr:rowOff>167640</xdr:rowOff>
        </xdr:to>
        <xdr:sp macro="" textlink="">
          <xdr:nvSpPr>
            <xdr:cNvPr id="6448" name="Check Box 304" hidden="1">
              <a:extLst>
                <a:ext uri="{63B3BB69-23CF-44E3-9099-C40C66FF867C}">
                  <a14:compatExt spid="_x0000_s6448"/>
                </a:ext>
                <a:ext uri="{FF2B5EF4-FFF2-40B4-BE49-F238E27FC236}">
                  <a16:creationId xmlns:a16="http://schemas.microsoft.com/office/drawing/2014/main" id="{00000000-0008-0000-0000-000030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不确定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457200</xdr:colOff>
          <xdr:row>10</xdr:row>
          <xdr:rowOff>304800</xdr:rowOff>
        </xdr:from>
        <xdr:to>
          <xdr:col>10</xdr:col>
          <xdr:colOff>30480</xdr:colOff>
          <xdr:row>12</xdr:row>
          <xdr:rowOff>152400</xdr:rowOff>
        </xdr:to>
        <xdr:sp macro="" textlink="">
          <xdr:nvSpPr>
            <xdr:cNvPr id="6449" name="Check Box 305" hidden="1">
              <a:extLst>
                <a:ext uri="{63B3BB69-23CF-44E3-9099-C40C66FF867C}">
                  <a14:compatExt spid="_x0000_s6449"/>
                </a:ext>
                <a:ext uri="{FF2B5EF4-FFF2-40B4-BE49-F238E27FC236}">
                  <a16:creationId xmlns:a16="http://schemas.microsoft.com/office/drawing/2014/main" id="{00000000-0008-0000-0000-000031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175260</xdr:colOff>
          <xdr:row>11</xdr:row>
          <xdr:rowOff>0</xdr:rowOff>
        </xdr:from>
        <xdr:to>
          <xdr:col>10</xdr:col>
          <xdr:colOff>914400</xdr:colOff>
          <xdr:row>12</xdr:row>
          <xdr:rowOff>167640</xdr:rowOff>
        </xdr:to>
        <xdr:sp macro="" textlink="">
          <xdr:nvSpPr>
            <xdr:cNvPr id="6450" name="Check Box 306" hidden="1">
              <a:extLst>
                <a:ext uri="{63B3BB69-23CF-44E3-9099-C40C66FF867C}">
                  <a14:compatExt spid="_x0000_s6450"/>
                </a:ext>
                <a:ext uri="{FF2B5EF4-FFF2-40B4-BE49-F238E27FC236}">
                  <a16:creationId xmlns:a16="http://schemas.microsoft.com/office/drawing/2014/main" id="{00000000-0008-0000-0000-000032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</xdr:colOff>
          <xdr:row>11</xdr:row>
          <xdr:rowOff>0</xdr:rowOff>
        </xdr:from>
        <xdr:to>
          <xdr:col>11</xdr:col>
          <xdr:colOff>815340</xdr:colOff>
          <xdr:row>12</xdr:row>
          <xdr:rowOff>167640</xdr:rowOff>
        </xdr:to>
        <xdr:sp macro="" textlink="">
          <xdr:nvSpPr>
            <xdr:cNvPr id="6451" name="Check Box 307" hidden="1">
              <a:extLst>
                <a:ext uri="{63B3BB69-23CF-44E3-9099-C40C66FF867C}">
                  <a14:compatExt spid="_x0000_s6451"/>
                </a:ext>
                <a:ext uri="{FF2B5EF4-FFF2-40B4-BE49-F238E27FC236}">
                  <a16:creationId xmlns:a16="http://schemas.microsoft.com/office/drawing/2014/main" id="{00000000-0008-0000-0000-000033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不确定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1066800</xdr:colOff>
          <xdr:row>9</xdr:row>
          <xdr:rowOff>0</xdr:rowOff>
        </xdr:from>
        <xdr:to>
          <xdr:col>13</xdr:col>
          <xdr:colOff>662940</xdr:colOff>
          <xdr:row>10</xdr:row>
          <xdr:rowOff>167640</xdr:rowOff>
        </xdr:to>
        <xdr:sp macro="" textlink="">
          <xdr:nvSpPr>
            <xdr:cNvPr id="6455" name="Check Box 311" hidden="1">
              <a:extLst>
                <a:ext uri="{63B3BB69-23CF-44E3-9099-C40C66FF867C}">
                  <a14:compatExt spid="_x0000_s6455"/>
                </a:ext>
                <a:ext uri="{FF2B5EF4-FFF2-40B4-BE49-F238E27FC236}">
                  <a16:creationId xmlns:a16="http://schemas.microsoft.com/office/drawing/2014/main" id="{00000000-0008-0000-0000-000037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533400</xdr:colOff>
          <xdr:row>9</xdr:row>
          <xdr:rowOff>0</xdr:rowOff>
        </xdr:from>
        <xdr:to>
          <xdr:col>13</xdr:col>
          <xdr:colOff>1280160</xdr:colOff>
          <xdr:row>10</xdr:row>
          <xdr:rowOff>167640</xdr:rowOff>
        </xdr:to>
        <xdr:sp macro="" textlink="">
          <xdr:nvSpPr>
            <xdr:cNvPr id="6456" name="Check Box 312" hidden="1">
              <a:extLst>
                <a:ext uri="{63B3BB69-23CF-44E3-9099-C40C66FF867C}">
                  <a14:compatExt spid="_x0000_s6456"/>
                </a:ext>
                <a:ext uri="{FF2B5EF4-FFF2-40B4-BE49-F238E27FC236}">
                  <a16:creationId xmlns:a16="http://schemas.microsoft.com/office/drawing/2014/main" id="{00000000-0008-0000-0000-000038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1066800</xdr:colOff>
          <xdr:row>10</xdr:row>
          <xdr:rowOff>0</xdr:rowOff>
        </xdr:from>
        <xdr:to>
          <xdr:col>13</xdr:col>
          <xdr:colOff>662940</xdr:colOff>
          <xdr:row>11</xdr:row>
          <xdr:rowOff>167640</xdr:rowOff>
        </xdr:to>
        <xdr:sp macro="" textlink="">
          <xdr:nvSpPr>
            <xdr:cNvPr id="6457" name="Check Box 313" hidden="1">
              <a:extLst>
                <a:ext uri="{63B3BB69-23CF-44E3-9099-C40C66FF867C}">
                  <a14:compatExt spid="_x0000_s6457"/>
                </a:ext>
                <a:ext uri="{FF2B5EF4-FFF2-40B4-BE49-F238E27FC236}">
                  <a16:creationId xmlns:a16="http://schemas.microsoft.com/office/drawing/2014/main" id="{00000000-0008-0000-0000-000039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533400</xdr:colOff>
          <xdr:row>10</xdr:row>
          <xdr:rowOff>0</xdr:rowOff>
        </xdr:from>
        <xdr:to>
          <xdr:col>13</xdr:col>
          <xdr:colOff>1280160</xdr:colOff>
          <xdr:row>11</xdr:row>
          <xdr:rowOff>167640</xdr:rowOff>
        </xdr:to>
        <xdr:sp macro="" textlink="">
          <xdr:nvSpPr>
            <xdr:cNvPr id="6458" name="Check Box 314" hidden="1">
              <a:extLst>
                <a:ext uri="{63B3BB69-23CF-44E3-9099-C40C66FF867C}">
                  <a14:compatExt spid="_x0000_s6458"/>
                </a:ext>
                <a:ext uri="{FF2B5EF4-FFF2-40B4-BE49-F238E27FC236}">
                  <a16:creationId xmlns:a16="http://schemas.microsoft.com/office/drawing/2014/main" id="{00000000-0008-0000-0000-00003A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1066800</xdr:colOff>
          <xdr:row>11</xdr:row>
          <xdr:rowOff>0</xdr:rowOff>
        </xdr:from>
        <xdr:to>
          <xdr:col>13</xdr:col>
          <xdr:colOff>662940</xdr:colOff>
          <xdr:row>12</xdr:row>
          <xdr:rowOff>167640</xdr:rowOff>
        </xdr:to>
        <xdr:sp macro="" textlink="">
          <xdr:nvSpPr>
            <xdr:cNvPr id="6459" name="Check Box 315" hidden="1">
              <a:extLst>
                <a:ext uri="{63B3BB69-23CF-44E3-9099-C40C66FF867C}">
                  <a14:compatExt spid="_x0000_s6459"/>
                </a:ext>
                <a:ext uri="{FF2B5EF4-FFF2-40B4-BE49-F238E27FC236}">
                  <a16:creationId xmlns:a16="http://schemas.microsoft.com/office/drawing/2014/main" id="{00000000-0008-0000-0000-00003B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533400</xdr:colOff>
          <xdr:row>11</xdr:row>
          <xdr:rowOff>0</xdr:rowOff>
        </xdr:from>
        <xdr:to>
          <xdr:col>13</xdr:col>
          <xdr:colOff>1280160</xdr:colOff>
          <xdr:row>12</xdr:row>
          <xdr:rowOff>167640</xdr:rowOff>
        </xdr:to>
        <xdr:sp macro="" textlink="">
          <xdr:nvSpPr>
            <xdr:cNvPr id="6460" name="Check Box 316" hidden="1">
              <a:extLst>
                <a:ext uri="{63B3BB69-23CF-44E3-9099-C40C66FF867C}">
                  <a14:compatExt spid="_x0000_s6460"/>
                </a:ext>
                <a:ext uri="{FF2B5EF4-FFF2-40B4-BE49-F238E27FC236}">
                  <a16:creationId xmlns:a16="http://schemas.microsoft.com/office/drawing/2014/main" id="{00000000-0008-0000-0000-00003C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不合理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762000</xdr:colOff>
          <xdr:row>5</xdr:row>
          <xdr:rowOff>0</xdr:rowOff>
        </xdr:from>
        <xdr:to>
          <xdr:col>7</xdr:col>
          <xdr:colOff>487680</xdr:colOff>
          <xdr:row>6</xdr:row>
          <xdr:rowOff>91440</xdr:rowOff>
        </xdr:to>
        <xdr:sp macro="" textlink="">
          <xdr:nvSpPr>
            <xdr:cNvPr id="6461" name="Check Box 317" hidden="1">
              <a:extLst>
                <a:ext uri="{63B3BB69-23CF-44E3-9099-C40C66FF867C}">
                  <a14:compatExt spid="_x0000_s6461"/>
                </a:ext>
                <a:ext uri="{FF2B5EF4-FFF2-40B4-BE49-F238E27FC236}">
                  <a16:creationId xmlns:a16="http://schemas.microsoft.com/office/drawing/2014/main" id="{00000000-0008-0000-0000-00003D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视频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228600</xdr:colOff>
          <xdr:row>5</xdr:row>
          <xdr:rowOff>0</xdr:rowOff>
        </xdr:from>
        <xdr:to>
          <xdr:col>8</xdr:col>
          <xdr:colOff>990600</xdr:colOff>
          <xdr:row>6</xdr:row>
          <xdr:rowOff>167640</xdr:rowOff>
        </xdr:to>
        <xdr:sp macro="" textlink="">
          <xdr:nvSpPr>
            <xdr:cNvPr id="6462" name="Check Box 318" hidden="1">
              <a:extLst>
                <a:ext uri="{63B3BB69-23CF-44E3-9099-C40C66FF867C}">
                  <a14:compatExt spid="_x0000_s6462"/>
                </a:ext>
                <a:ext uri="{FF2B5EF4-FFF2-40B4-BE49-F238E27FC236}">
                  <a16:creationId xmlns:a16="http://schemas.microsoft.com/office/drawing/2014/main" id="{00000000-0008-0000-0000-00003E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现场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952500</xdr:colOff>
          <xdr:row>5</xdr:row>
          <xdr:rowOff>0</xdr:rowOff>
        </xdr:from>
        <xdr:to>
          <xdr:col>10</xdr:col>
          <xdr:colOff>525780</xdr:colOff>
          <xdr:row>6</xdr:row>
          <xdr:rowOff>167640</xdr:rowOff>
        </xdr:to>
        <xdr:sp macro="" textlink="">
          <xdr:nvSpPr>
            <xdr:cNvPr id="6463" name="Check Box 319" hidden="1">
              <a:extLst>
                <a:ext uri="{63B3BB69-23CF-44E3-9099-C40C66FF867C}">
                  <a14:compatExt spid="_x0000_s6463"/>
                </a:ext>
                <a:ext uri="{FF2B5EF4-FFF2-40B4-BE49-F238E27FC236}">
                  <a16:creationId xmlns:a16="http://schemas.microsoft.com/office/drawing/2014/main" id="{00000000-0008-0000-0000-00003F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视频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228600</xdr:colOff>
          <xdr:row>5</xdr:row>
          <xdr:rowOff>0</xdr:rowOff>
        </xdr:from>
        <xdr:to>
          <xdr:col>11</xdr:col>
          <xdr:colOff>990600</xdr:colOff>
          <xdr:row>6</xdr:row>
          <xdr:rowOff>167640</xdr:rowOff>
        </xdr:to>
        <xdr:sp macro="" textlink="">
          <xdr:nvSpPr>
            <xdr:cNvPr id="6464" name="Check Box 320" hidden="1">
              <a:extLst>
                <a:ext uri="{63B3BB69-23CF-44E3-9099-C40C66FF867C}">
                  <a14:compatExt spid="_x0000_s6464"/>
                </a:ext>
                <a:ext uri="{FF2B5EF4-FFF2-40B4-BE49-F238E27FC236}">
                  <a16:creationId xmlns:a16="http://schemas.microsoft.com/office/drawing/2014/main" id="{00000000-0008-0000-0000-000040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现场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838200</xdr:colOff>
          <xdr:row>5</xdr:row>
          <xdr:rowOff>0</xdr:rowOff>
        </xdr:from>
        <xdr:to>
          <xdr:col>13</xdr:col>
          <xdr:colOff>434340</xdr:colOff>
          <xdr:row>6</xdr:row>
          <xdr:rowOff>167640</xdr:rowOff>
        </xdr:to>
        <xdr:sp macro="" textlink="">
          <xdr:nvSpPr>
            <xdr:cNvPr id="6465" name="Check Box 321" hidden="1">
              <a:extLst>
                <a:ext uri="{63B3BB69-23CF-44E3-9099-C40C66FF867C}">
                  <a14:compatExt spid="_x0000_s6465"/>
                </a:ext>
                <a:ext uri="{FF2B5EF4-FFF2-40B4-BE49-F238E27FC236}">
                  <a16:creationId xmlns:a16="http://schemas.microsoft.com/office/drawing/2014/main" id="{00000000-0008-0000-0000-000041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视频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327660</xdr:colOff>
          <xdr:row>5</xdr:row>
          <xdr:rowOff>0</xdr:rowOff>
        </xdr:from>
        <xdr:to>
          <xdr:col>13</xdr:col>
          <xdr:colOff>1082040</xdr:colOff>
          <xdr:row>6</xdr:row>
          <xdr:rowOff>167640</xdr:rowOff>
        </xdr:to>
        <xdr:sp macro="" textlink="">
          <xdr:nvSpPr>
            <xdr:cNvPr id="6466" name="Check Box 322" hidden="1">
              <a:extLst>
                <a:ext uri="{63B3BB69-23CF-44E3-9099-C40C66FF867C}">
                  <a14:compatExt spid="_x0000_s6466"/>
                </a:ext>
                <a:ext uri="{FF2B5EF4-FFF2-40B4-BE49-F238E27FC236}">
                  <a16:creationId xmlns:a16="http://schemas.microsoft.com/office/drawing/2014/main" id="{00000000-0008-0000-0000-000042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现场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29" Type="http://schemas.openxmlformats.org/officeDocument/2006/relationships/ctrlProp" Target="../ctrlProps/ctrlProp27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31" Type="http://schemas.openxmlformats.org/officeDocument/2006/relationships/ctrlProp" Target="../ctrlProps/ctrlProp29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V45"/>
  <sheetViews>
    <sheetView showGridLines="0" tabSelected="1" zoomScale="60" zoomScaleNormal="60" workbookViewId="0">
      <selection activeCell="E5" sqref="E5"/>
    </sheetView>
  </sheetViews>
  <sheetFormatPr defaultColWidth="9" defaultRowHeight="24" customHeight="1"/>
  <cols>
    <col min="1" max="1" width="18.6640625" style="39" customWidth="1"/>
    <col min="2" max="2" width="15.109375" style="39" customWidth="1"/>
    <col min="3" max="3" width="21.88671875" style="39" customWidth="1"/>
    <col min="4" max="4" width="15.109375" style="39" customWidth="1"/>
    <col min="5" max="5" width="25.21875" style="39" customWidth="1"/>
    <col min="6" max="6" width="17.77734375" style="39" customWidth="1"/>
    <col min="7" max="7" width="13.88671875" style="39" customWidth="1"/>
    <col min="8" max="8" width="16.6640625" style="39" customWidth="1"/>
    <col min="9" max="9" width="16.77734375" style="39" customWidth="1"/>
    <col min="10" max="10" width="15.109375" style="39" customWidth="1"/>
    <col min="11" max="11" width="14.44140625" style="39" customWidth="1"/>
    <col min="12" max="12" width="16.109375" style="39" customWidth="1"/>
    <col min="13" max="13" width="15" style="39" customWidth="1"/>
    <col min="14" max="14" width="23.109375" style="39" customWidth="1"/>
    <col min="15" max="16376" width="9" style="39"/>
  </cols>
  <sheetData>
    <row r="1" spans="1:15" ht="24" customHeight="1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</row>
    <row r="2" spans="1:15" ht="24" customHeight="1">
      <c r="A2" s="129" t="s">
        <v>1</v>
      </c>
      <c r="B2" s="129"/>
      <c r="C2" s="129"/>
      <c r="D2" s="129"/>
      <c r="E2" s="129"/>
      <c r="F2" s="129"/>
      <c r="G2" s="130" t="s">
        <v>2</v>
      </c>
      <c r="H2" s="130"/>
      <c r="I2" s="130"/>
      <c r="J2" s="130" t="s">
        <v>3</v>
      </c>
      <c r="K2" s="130"/>
      <c r="L2" s="130"/>
      <c r="M2" s="131" t="s">
        <v>4</v>
      </c>
      <c r="N2" s="131"/>
      <c r="O2" s="131"/>
    </row>
    <row r="3" spans="1:15" ht="28.95" customHeight="1">
      <c r="A3" s="40" t="s">
        <v>5</v>
      </c>
      <c r="B3" s="41"/>
      <c r="C3" s="42" t="s">
        <v>6</v>
      </c>
      <c r="D3" s="43"/>
      <c r="E3" s="44" t="s">
        <v>7</v>
      </c>
      <c r="F3" s="45"/>
      <c r="G3" s="163" t="s">
        <v>8</v>
      </c>
      <c r="H3" s="163"/>
      <c r="I3" s="164"/>
      <c r="J3" s="165" t="s">
        <v>9</v>
      </c>
      <c r="K3" s="165"/>
      <c r="L3" s="166"/>
      <c r="M3" s="145" t="s">
        <v>10</v>
      </c>
      <c r="N3" s="146"/>
      <c r="O3" s="147"/>
    </row>
    <row r="4" spans="1:15" ht="22.95" customHeight="1">
      <c r="A4" s="46" t="s">
        <v>11</v>
      </c>
      <c r="B4" s="47"/>
      <c r="C4" s="43" t="s">
        <v>12</v>
      </c>
      <c r="D4" s="43"/>
      <c r="E4" s="48" t="s">
        <v>13</v>
      </c>
      <c r="F4" s="49" t="s">
        <v>14</v>
      </c>
      <c r="G4" s="157"/>
      <c r="H4" s="158"/>
      <c r="I4" s="159"/>
      <c r="J4" s="160"/>
      <c r="K4" s="161"/>
      <c r="L4" s="162"/>
      <c r="M4" s="145"/>
      <c r="N4" s="146"/>
      <c r="O4" s="147"/>
    </row>
    <row r="5" spans="1:15" ht="19.95" customHeight="1">
      <c r="A5" s="46" t="s">
        <v>15</v>
      </c>
      <c r="B5" s="47"/>
      <c r="C5" s="43" t="s">
        <v>16</v>
      </c>
      <c r="D5" s="43"/>
      <c r="E5" s="187" t="s">
        <v>138</v>
      </c>
      <c r="F5" s="43"/>
      <c r="G5" s="148" t="s">
        <v>17</v>
      </c>
      <c r="H5" s="148"/>
      <c r="I5" s="148"/>
      <c r="J5" s="149" t="s">
        <v>17</v>
      </c>
      <c r="K5" s="149"/>
      <c r="L5" s="149"/>
      <c r="M5" s="145" t="s">
        <v>17</v>
      </c>
      <c r="N5" s="146"/>
      <c r="O5" s="147"/>
    </row>
    <row r="6" spans="1:15" ht="22.95" customHeight="1">
      <c r="A6" s="50" t="s">
        <v>18</v>
      </c>
      <c r="B6" s="51"/>
      <c r="C6" s="52" t="s">
        <v>19</v>
      </c>
      <c r="D6" s="52"/>
      <c r="E6" s="53" t="s">
        <v>20</v>
      </c>
      <c r="F6" s="49" t="s">
        <v>21</v>
      </c>
      <c r="G6" s="150"/>
      <c r="H6" s="151"/>
      <c r="I6" s="152"/>
      <c r="J6" s="153"/>
      <c r="K6" s="154"/>
      <c r="L6" s="155"/>
      <c r="M6" s="156"/>
      <c r="N6" s="156"/>
      <c r="O6" s="156"/>
    </row>
    <row r="7" spans="1:15" ht="22.95" customHeight="1">
      <c r="A7" s="50" t="s">
        <v>22</v>
      </c>
      <c r="B7" s="51"/>
      <c r="C7" s="52" t="s">
        <v>23</v>
      </c>
      <c r="D7" s="52"/>
      <c r="E7" s="52" t="s">
        <v>24</v>
      </c>
      <c r="F7" s="45"/>
      <c r="G7" s="157"/>
      <c r="H7" s="158"/>
      <c r="I7" s="159"/>
      <c r="J7" s="160"/>
      <c r="K7" s="161"/>
      <c r="L7" s="162"/>
      <c r="M7" s="145"/>
      <c r="N7" s="146"/>
      <c r="O7" s="147"/>
    </row>
    <row r="8" spans="1:15" ht="24" customHeight="1">
      <c r="A8" s="131" t="s">
        <v>25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</row>
    <row r="9" spans="1:15" ht="24" customHeight="1">
      <c r="A9" s="129" t="s">
        <v>26</v>
      </c>
      <c r="B9" s="129"/>
      <c r="C9" s="129"/>
      <c r="D9" s="129"/>
      <c r="E9" s="129"/>
      <c r="F9" s="129"/>
      <c r="G9" s="130" t="s">
        <v>2</v>
      </c>
      <c r="H9" s="130"/>
      <c r="I9" s="130"/>
      <c r="J9" s="130" t="s">
        <v>3</v>
      </c>
      <c r="K9" s="130"/>
      <c r="L9" s="130"/>
      <c r="M9" s="131" t="s">
        <v>4</v>
      </c>
      <c r="N9" s="131"/>
      <c r="O9" s="131"/>
    </row>
    <row r="10" spans="1:15" ht="22.95" customHeight="1">
      <c r="A10" s="136"/>
      <c r="B10" s="137"/>
      <c r="C10" s="137"/>
      <c r="D10" s="137"/>
      <c r="E10" s="137"/>
      <c r="F10" s="138"/>
      <c r="G10" s="139"/>
      <c r="H10" s="140"/>
      <c r="I10" s="141"/>
      <c r="J10" s="142"/>
      <c r="K10" s="143"/>
      <c r="L10" s="144"/>
      <c r="M10" s="145"/>
      <c r="N10" s="146"/>
      <c r="O10" s="147"/>
    </row>
    <row r="11" spans="1:15" ht="22.95" customHeight="1">
      <c r="A11" s="136"/>
      <c r="B11" s="137"/>
      <c r="C11" s="137"/>
      <c r="D11" s="137"/>
      <c r="E11" s="137"/>
      <c r="F11" s="138"/>
      <c r="G11" s="139"/>
      <c r="H11" s="140"/>
      <c r="I11" s="141"/>
      <c r="J11" s="142"/>
      <c r="K11" s="143"/>
      <c r="L11" s="144"/>
      <c r="M11" s="145"/>
      <c r="N11" s="146"/>
      <c r="O11" s="147"/>
    </row>
    <row r="12" spans="1:15" ht="22.95" customHeight="1">
      <c r="A12" s="136"/>
      <c r="B12" s="137"/>
      <c r="C12" s="137"/>
      <c r="D12" s="137"/>
      <c r="E12" s="137"/>
      <c r="F12" s="138"/>
      <c r="G12" s="139"/>
      <c r="H12" s="140"/>
      <c r="I12" s="141"/>
      <c r="J12" s="142"/>
      <c r="K12" s="143"/>
      <c r="L12" s="144"/>
      <c r="M12" s="145"/>
      <c r="N12" s="146"/>
      <c r="O12" s="147"/>
    </row>
    <row r="13" spans="1:15" ht="24" customHeight="1">
      <c r="A13" s="131" t="s">
        <v>27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</row>
    <row r="14" spans="1:15" ht="24" customHeight="1">
      <c r="A14" s="129" t="s">
        <v>1</v>
      </c>
      <c r="B14" s="129"/>
      <c r="C14" s="129"/>
      <c r="D14" s="129"/>
      <c r="E14" s="129"/>
      <c r="F14" s="129"/>
      <c r="G14" s="130" t="s">
        <v>2</v>
      </c>
      <c r="H14" s="130"/>
      <c r="I14" s="130"/>
      <c r="J14" s="130" t="s">
        <v>3</v>
      </c>
      <c r="K14" s="130"/>
      <c r="L14" s="130"/>
      <c r="M14" s="131" t="s">
        <v>4</v>
      </c>
      <c r="N14" s="131"/>
      <c r="O14" s="131"/>
    </row>
    <row r="15" spans="1:15" ht="24" customHeight="1">
      <c r="A15" s="131" t="s">
        <v>28</v>
      </c>
      <c r="B15" s="131"/>
      <c r="C15" s="131"/>
      <c r="D15" s="131" t="s">
        <v>29</v>
      </c>
      <c r="E15" s="131" t="s">
        <v>30</v>
      </c>
      <c r="F15" s="131"/>
      <c r="G15" s="131" t="s">
        <v>31</v>
      </c>
      <c r="H15" s="131" t="s">
        <v>30</v>
      </c>
      <c r="I15" s="131"/>
      <c r="J15" s="131" t="s">
        <v>31</v>
      </c>
      <c r="K15" s="131" t="s">
        <v>30</v>
      </c>
      <c r="L15" s="131"/>
      <c r="M15" s="131" t="s">
        <v>31</v>
      </c>
      <c r="N15" s="131" t="s">
        <v>30</v>
      </c>
      <c r="O15" s="131"/>
    </row>
    <row r="16" spans="1:15" ht="24" customHeight="1">
      <c r="A16" s="54" t="s">
        <v>32</v>
      </c>
      <c r="B16" s="55"/>
      <c r="C16" s="56"/>
      <c r="D16" s="57"/>
      <c r="E16" s="132"/>
      <c r="F16" s="132"/>
      <c r="G16" s="58"/>
      <c r="H16" s="133"/>
      <c r="I16" s="133"/>
      <c r="J16" s="59"/>
      <c r="K16" s="134"/>
      <c r="L16" s="134"/>
      <c r="M16" s="60"/>
      <c r="N16" s="135"/>
      <c r="O16" s="135"/>
    </row>
    <row r="17" spans="1:17" ht="28.95" customHeight="1">
      <c r="A17" s="79" t="s">
        <v>33</v>
      </c>
      <c r="B17" s="62" t="s">
        <v>34</v>
      </c>
      <c r="C17" s="63"/>
      <c r="D17" s="57"/>
      <c r="E17" s="120"/>
      <c r="F17" s="120"/>
      <c r="G17" s="58"/>
      <c r="H17" s="121"/>
      <c r="I17" s="121"/>
      <c r="J17" s="59"/>
      <c r="K17" s="122"/>
      <c r="L17" s="122"/>
      <c r="M17" s="60"/>
      <c r="N17" s="119"/>
      <c r="O17" s="119"/>
    </row>
    <row r="18" spans="1:17" ht="28.95" customHeight="1">
      <c r="A18" s="80"/>
      <c r="B18" s="82" t="s">
        <v>35</v>
      </c>
      <c r="C18" s="64" t="s">
        <v>36</v>
      </c>
      <c r="D18" s="57"/>
      <c r="E18" s="106"/>
      <c r="F18" s="107"/>
      <c r="G18" s="58"/>
      <c r="H18" s="123"/>
      <c r="I18" s="124"/>
      <c r="J18" s="59"/>
      <c r="K18" s="125"/>
      <c r="L18" s="126"/>
      <c r="M18" s="60"/>
      <c r="N18" s="127"/>
      <c r="O18" s="128"/>
    </row>
    <row r="19" spans="1:17" ht="28.95" customHeight="1">
      <c r="A19" s="80"/>
      <c r="B19" s="82"/>
      <c r="C19" s="64" t="s">
        <v>37</v>
      </c>
      <c r="D19" s="57"/>
      <c r="E19" s="106"/>
      <c r="F19" s="107"/>
      <c r="G19" s="58"/>
      <c r="H19" s="123"/>
      <c r="I19" s="124"/>
      <c r="J19" s="59"/>
      <c r="K19" s="125"/>
      <c r="L19" s="126"/>
      <c r="M19" s="60"/>
      <c r="N19" s="127"/>
      <c r="O19" s="128"/>
    </row>
    <row r="20" spans="1:17" ht="30" customHeight="1">
      <c r="A20" s="80"/>
      <c r="B20" s="83"/>
      <c r="C20" s="64" t="s">
        <v>38</v>
      </c>
      <c r="D20" s="57"/>
      <c r="E20" s="120"/>
      <c r="F20" s="120"/>
      <c r="G20" s="58"/>
      <c r="H20" s="121"/>
      <c r="I20" s="121"/>
      <c r="J20" s="59"/>
      <c r="K20" s="122"/>
      <c r="L20" s="122"/>
      <c r="M20" s="60"/>
      <c r="N20" s="119"/>
      <c r="O20" s="119"/>
    </row>
    <row r="21" spans="1:17" ht="30" customHeight="1">
      <c r="A21" s="80"/>
      <c r="B21" s="62" t="s">
        <v>39</v>
      </c>
      <c r="C21" s="63"/>
      <c r="D21" s="57"/>
      <c r="E21" s="106"/>
      <c r="F21" s="107"/>
      <c r="G21" s="58"/>
      <c r="H21" s="108"/>
      <c r="I21" s="109"/>
      <c r="J21" s="59"/>
      <c r="K21" s="110"/>
      <c r="L21" s="111"/>
      <c r="M21" s="60"/>
      <c r="N21" s="119"/>
      <c r="O21" s="119"/>
    </row>
    <row r="22" spans="1:17" ht="30" customHeight="1">
      <c r="A22" s="81"/>
      <c r="B22" s="62" t="s">
        <v>40</v>
      </c>
      <c r="C22" s="63"/>
      <c r="D22" s="57"/>
      <c r="E22" s="106"/>
      <c r="F22" s="107"/>
      <c r="G22" s="58"/>
      <c r="H22" s="108"/>
      <c r="I22" s="109"/>
      <c r="J22" s="59"/>
      <c r="K22" s="110"/>
      <c r="L22" s="111"/>
      <c r="M22" s="60"/>
      <c r="N22" s="119"/>
      <c r="O22" s="119"/>
    </row>
    <row r="23" spans="1:17" ht="30" customHeight="1">
      <c r="A23" s="76" t="s">
        <v>41</v>
      </c>
      <c r="B23" s="84" t="s">
        <v>42</v>
      </c>
      <c r="C23" s="64" t="s">
        <v>43</v>
      </c>
      <c r="D23" s="57"/>
      <c r="E23" s="106"/>
      <c r="F23" s="107"/>
      <c r="G23" s="58"/>
      <c r="H23" s="108"/>
      <c r="I23" s="109"/>
      <c r="J23" s="59"/>
      <c r="K23" s="110"/>
      <c r="L23" s="111"/>
      <c r="M23" s="60"/>
      <c r="N23" s="119"/>
      <c r="O23" s="119"/>
    </row>
    <row r="24" spans="1:17" ht="30" customHeight="1">
      <c r="A24" s="76"/>
      <c r="B24" s="85"/>
      <c r="C24" s="64" t="s">
        <v>44</v>
      </c>
      <c r="D24" s="57"/>
      <c r="E24" s="106"/>
      <c r="F24" s="107"/>
      <c r="G24" s="58"/>
      <c r="H24" s="108"/>
      <c r="I24" s="109"/>
      <c r="J24" s="59"/>
      <c r="K24" s="110"/>
      <c r="L24" s="111"/>
      <c r="M24" s="60"/>
      <c r="N24" s="119"/>
      <c r="O24" s="119"/>
    </row>
    <row r="25" spans="1:17" ht="30" customHeight="1">
      <c r="A25" s="76"/>
      <c r="B25" s="86"/>
      <c r="C25" s="64" t="s">
        <v>45</v>
      </c>
      <c r="D25" s="57"/>
      <c r="E25" s="106"/>
      <c r="F25" s="107"/>
      <c r="G25" s="58"/>
      <c r="H25" s="108"/>
      <c r="I25" s="109"/>
      <c r="J25" s="59"/>
      <c r="K25" s="110"/>
      <c r="L25" s="111"/>
      <c r="M25" s="60"/>
      <c r="N25" s="119"/>
      <c r="O25" s="119"/>
    </row>
    <row r="26" spans="1:17" ht="30" customHeight="1">
      <c r="A26" s="76" t="s">
        <v>46</v>
      </c>
      <c r="B26" s="92" t="s">
        <v>47</v>
      </c>
      <c r="C26" s="93"/>
      <c r="D26" s="57"/>
      <c r="E26" s="106"/>
      <c r="F26" s="107"/>
      <c r="G26" s="58"/>
      <c r="H26" s="108"/>
      <c r="I26" s="109"/>
      <c r="J26" s="59"/>
      <c r="K26" s="110"/>
      <c r="L26" s="111"/>
      <c r="M26" s="65"/>
      <c r="N26" s="119"/>
      <c r="O26" s="119"/>
    </row>
    <row r="27" spans="1:17" ht="30" customHeight="1">
      <c r="A27" s="76"/>
      <c r="B27" s="92" t="s">
        <v>48</v>
      </c>
      <c r="C27" s="93"/>
      <c r="D27" s="57"/>
      <c r="E27" s="106"/>
      <c r="F27" s="107"/>
      <c r="G27" s="58"/>
      <c r="H27" s="108"/>
      <c r="I27" s="109"/>
      <c r="J27" s="59"/>
      <c r="K27" s="110"/>
      <c r="L27" s="111"/>
      <c r="M27" s="66"/>
      <c r="N27" s="112"/>
      <c r="O27" s="113"/>
    </row>
    <row r="28" spans="1:17" ht="30" customHeight="1">
      <c r="A28" s="76"/>
      <c r="B28" s="92" t="s">
        <v>49</v>
      </c>
      <c r="C28" s="93"/>
      <c r="D28" s="57"/>
      <c r="E28" s="106"/>
      <c r="F28" s="107"/>
      <c r="G28" s="58"/>
      <c r="H28" s="108"/>
      <c r="I28" s="109"/>
      <c r="J28" s="59"/>
      <c r="K28" s="110"/>
      <c r="L28" s="111"/>
      <c r="M28" s="66"/>
      <c r="N28" s="112"/>
      <c r="O28" s="113"/>
    </row>
    <row r="29" spans="1:17" ht="30" customHeight="1">
      <c r="A29" s="61" t="s">
        <v>50</v>
      </c>
      <c r="B29" s="67" t="s">
        <v>51</v>
      </c>
      <c r="C29" s="67" t="s">
        <v>51</v>
      </c>
      <c r="D29" s="68" t="s">
        <v>51</v>
      </c>
      <c r="E29" s="114"/>
      <c r="F29" s="114"/>
      <c r="G29" s="58" t="s">
        <v>51</v>
      </c>
      <c r="H29" s="115"/>
      <c r="I29" s="116"/>
      <c r="J29" s="59" t="s">
        <v>51</v>
      </c>
      <c r="K29" s="117"/>
      <c r="L29" s="118"/>
      <c r="M29" s="69"/>
      <c r="N29" s="119"/>
      <c r="O29" s="119"/>
    </row>
    <row r="30" spans="1:17" ht="49.05" customHeight="1">
      <c r="A30" s="91" t="s">
        <v>52</v>
      </c>
      <c r="B30" s="91"/>
      <c r="C30" s="91"/>
      <c r="D30" s="70"/>
      <c r="E30" s="92"/>
      <c r="F30" s="93"/>
      <c r="G30" s="71"/>
      <c r="H30" s="94"/>
      <c r="I30" s="95"/>
      <c r="J30" s="59"/>
      <c r="K30" s="96"/>
      <c r="L30" s="97"/>
      <c r="M30" s="72">
        <f>ROUND(((M18*0.45+M19*0.35+M20*0.25)*0.5+M21*0.3+M22*0.2)*0.5+(M23*0.5+M24*0.3+M25*0.2)*IF(OR(O4="A7-A9",O4="M1-M3"),0.2,0.5)+IF(OR(O4="A7-A9",O4="M1-M3"),(M26*0.3+M27*0.5+M28*0.2)*0.3,0),2)</f>
        <v>0</v>
      </c>
      <c r="N30" s="98"/>
      <c r="O30" s="99"/>
    </row>
    <row r="31" spans="1:17" s="39" customFormat="1" ht="24" customHeight="1">
      <c r="A31" s="100" t="s">
        <v>53</v>
      </c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2"/>
      <c r="Q31" s="73"/>
    </row>
    <row r="32" spans="1:17" s="39" customFormat="1" ht="24" customHeight="1">
      <c r="A32" s="103" t="s">
        <v>1</v>
      </c>
      <c r="B32" s="103"/>
      <c r="C32" s="103"/>
      <c r="D32" s="103"/>
      <c r="E32" s="103"/>
      <c r="F32" s="103"/>
      <c r="G32" s="104" t="s">
        <v>2</v>
      </c>
      <c r="H32" s="104"/>
      <c r="I32" s="104"/>
      <c r="J32" s="104" t="s">
        <v>3</v>
      </c>
      <c r="K32" s="104"/>
      <c r="L32" s="104"/>
      <c r="M32" s="105" t="s">
        <v>4</v>
      </c>
      <c r="N32" s="105"/>
      <c r="O32" s="105"/>
    </row>
    <row r="33" spans="1:17" s="39" customFormat="1" ht="22.95" customHeight="1">
      <c r="A33" s="87" t="s">
        <v>54</v>
      </c>
      <c r="B33" s="87"/>
      <c r="C33" s="87"/>
      <c r="D33" s="87"/>
      <c r="E33" s="87"/>
      <c r="F33" s="87"/>
      <c r="G33" s="88"/>
      <c r="H33" s="88"/>
      <c r="I33" s="88"/>
      <c r="J33" s="89"/>
      <c r="K33" s="89"/>
      <c r="L33" s="89"/>
      <c r="M33" s="90"/>
      <c r="N33" s="90"/>
      <c r="O33" s="90"/>
    </row>
    <row r="34" spans="1:17" s="39" customFormat="1" ht="22.95" customHeight="1">
      <c r="A34" s="87" t="s">
        <v>55</v>
      </c>
      <c r="B34" s="87"/>
      <c r="C34" s="87"/>
      <c r="D34" s="87"/>
      <c r="E34" s="87"/>
      <c r="F34" s="87"/>
      <c r="G34" s="88"/>
      <c r="H34" s="88"/>
      <c r="I34" s="88"/>
      <c r="J34" s="89"/>
      <c r="K34" s="89"/>
      <c r="L34" s="89"/>
      <c r="M34" s="90"/>
      <c r="N34" s="90"/>
      <c r="O34" s="90"/>
    </row>
    <row r="35" spans="1:17" s="39" customFormat="1" ht="22.95" customHeight="1">
      <c r="A35" s="87" t="s">
        <v>56</v>
      </c>
      <c r="B35" s="87"/>
      <c r="C35" s="87"/>
      <c r="D35" s="87"/>
      <c r="E35" s="87"/>
      <c r="F35" s="87"/>
      <c r="G35" s="88"/>
      <c r="H35" s="88"/>
      <c r="I35" s="88"/>
      <c r="J35" s="89"/>
      <c r="K35" s="89"/>
      <c r="L35" s="89"/>
      <c r="M35" s="90"/>
      <c r="N35" s="90"/>
      <c r="O35" s="90"/>
    </row>
    <row r="36" spans="1:17" s="39" customFormat="1" ht="22.95" customHeight="1">
      <c r="A36" s="87" t="s">
        <v>57</v>
      </c>
      <c r="B36" s="87"/>
      <c r="C36" s="87"/>
      <c r="D36" s="87"/>
      <c r="E36" s="87"/>
      <c r="F36" s="87"/>
      <c r="G36" s="88"/>
      <c r="H36" s="88"/>
      <c r="I36" s="88"/>
      <c r="J36" s="89"/>
      <c r="K36" s="89"/>
      <c r="L36" s="89"/>
      <c r="M36" s="90"/>
      <c r="N36" s="90"/>
      <c r="O36" s="90"/>
      <c r="Q36" s="39">
        <v>3</v>
      </c>
    </row>
    <row r="37" spans="1:17" s="39" customFormat="1" ht="24" customHeight="1">
      <c r="A37" s="75" t="s">
        <v>58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</row>
    <row r="38" spans="1:17" s="39" customFormat="1" ht="22.95" customHeight="1">
      <c r="A38" s="76" t="s">
        <v>59</v>
      </c>
      <c r="B38" s="76"/>
      <c r="C38" s="46"/>
      <c r="D38" s="46" t="s">
        <v>60</v>
      </c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</row>
    <row r="39" spans="1:17" s="39" customFormat="1" ht="22.95" customHeight="1">
      <c r="A39" s="76"/>
      <c r="B39" s="76"/>
      <c r="C39" s="46"/>
      <c r="D39" s="46" t="s">
        <v>61</v>
      </c>
      <c r="E39" s="76"/>
      <c r="F39" s="76"/>
      <c r="G39" s="77"/>
      <c r="H39" s="77"/>
      <c r="I39" s="77"/>
      <c r="J39" s="78" t="s">
        <v>62</v>
      </c>
      <c r="K39" s="78"/>
      <c r="L39" s="78"/>
      <c r="M39" s="78" t="s">
        <v>63</v>
      </c>
      <c r="N39" s="78"/>
      <c r="O39" s="78"/>
    </row>
    <row r="40" spans="1:17" ht="24" customHeight="1">
      <c r="A40" s="74" t="s">
        <v>64</v>
      </c>
      <c r="B40" s="74"/>
    </row>
    <row r="41" spans="1:17" ht="24" customHeight="1">
      <c r="A41" s="74" t="s">
        <v>65</v>
      </c>
      <c r="B41" s="74"/>
    </row>
    <row r="42" spans="1:17" ht="24" customHeight="1">
      <c r="A42" s="74" t="s">
        <v>66</v>
      </c>
      <c r="B42" s="74"/>
    </row>
    <row r="43" spans="1:17" ht="24" customHeight="1">
      <c r="A43" s="74" t="s">
        <v>67</v>
      </c>
      <c r="B43" s="74"/>
    </row>
    <row r="44" spans="1:17" ht="24" customHeight="1">
      <c r="A44" s="74" t="s">
        <v>68</v>
      </c>
      <c r="B44" s="74"/>
    </row>
    <row r="45" spans="1:17" ht="24" customHeight="1">
      <c r="A45" s="74" t="s">
        <v>69</v>
      </c>
      <c r="B45" s="74"/>
    </row>
  </sheetData>
  <sheetProtection selectLockedCells="1" selectUnlockedCells="1"/>
  <mergeCells count="144">
    <mergeCell ref="A1:O1"/>
    <mergeCell ref="A2:F2"/>
    <mergeCell ref="G2:I2"/>
    <mergeCell ref="J2:L2"/>
    <mergeCell ref="M2:O2"/>
    <mergeCell ref="G3:I3"/>
    <mergeCell ref="J3:L3"/>
    <mergeCell ref="M3:O3"/>
    <mergeCell ref="G4:I4"/>
    <mergeCell ref="J4:L4"/>
    <mergeCell ref="M4:O4"/>
    <mergeCell ref="G5:I5"/>
    <mergeCell ref="J5:L5"/>
    <mergeCell ref="M5:O5"/>
    <mergeCell ref="G6:I6"/>
    <mergeCell ref="J6:L6"/>
    <mergeCell ref="M6:O6"/>
    <mergeCell ref="G7:I7"/>
    <mergeCell ref="J7:L7"/>
    <mergeCell ref="M7:O7"/>
    <mergeCell ref="A8:O8"/>
    <mergeCell ref="A9:F9"/>
    <mergeCell ref="G9:I9"/>
    <mergeCell ref="J9:L9"/>
    <mergeCell ref="M9:O9"/>
    <mergeCell ref="A10:F10"/>
    <mergeCell ref="G10:I10"/>
    <mergeCell ref="J10:L10"/>
    <mergeCell ref="M10:O10"/>
    <mergeCell ref="A11:F11"/>
    <mergeCell ref="G11:I11"/>
    <mergeCell ref="J11:L11"/>
    <mergeCell ref="M11:O11"/>
    <mergeCell ref="A12:F12"/>
    <mergeCell ref="G12:I12"/>
    <mergeCell ref="J12:L12"/>
    <mergeCell ref="M12:O12"/>
    <mergeCell ref="A13:O13"/>
    <mergeCell ref="A14:F14"/>
    <mergeCell ref="G14:I14"/>
    <mergeCell ref="J14:L14"/>
    <mergeCell ref="M14:O14"/>
    <mergeCell ref="A15:O15"/>
    <mergeCell ref="E16:F16"/>
    <mergeCell ref="H16:I16"/>
    <mergeCell ref="K16:L16"/>
    <mergeCell ref="N16:O16"/>
    <mergeCell ref="E17:F17"/>
    <mergeCell ref="H17:I17"/>
    <mergeCell ref="K17:L17"/>
    <mergeCell ref="N17:O17"/>
    <mergeCell ref="E18:F18"/>
    <mergeCell ref="H18:I18"/>
    <mergeCell ref="K18:L18"/>
    <mergeCell ref="N18:O18"/>
    <mergeCell ref="E19:F19"/>
    <mergeCell ref="H19:I19"/>
    <mergeCell ref="K19:L19"/>
    <mergeCell ref="N19:O19"/>
    <mergeCell ref="E20:F20"/>
    <mergeCell ref="H20:I20"/>
    <mergeCell ref="K20:L20"/>
    <mergeCell ref="N20:O20"/>
    <mergeCell ref="E21:F21"/>
    <mergeCell ref="H21:I21"/>
    <mergeCell ref="K21:L21"/>
    <mergeCell ref="N21:O21"/>
    <mergeCell ref="E22:F22"/>
    <mergeCell ref="H22:I22"/>
    <mergeCell ref="K22:L22"/>
    <mergeCell ref="N22:O22"/>
    <mergeCell ref="E23:F23"/>
    <mergeCell ref="H23:I23"/>
    <mergeCell ref="K23:L23"/>
    <mergeCell ref="N23:O23"/>
    <mergeCell ref="E24:F24"/>
    <mergeCell ref="H24:I24"/>
    <mergeCell ref="K24:L24"/>
    <mergeCell ref="N24:O24"/>
    <mergeCell ref="E25:F25"/>
    <mergeCell ref="H25:I25"/>
    <mergeCell ref="K25:L25"/>
    <mergeCell ref="N25:O25"/>
    <mergeCell ref="B26:C26"/>
    <mergeCell ref="E26:F26"/>
    <mergeCell ref="H26:I26"/>
    <mergeCell ref="K26:L26"/>
    <mergeCell ref="N26:O26"/>
    <mergeCell ref="B27:C27"/>
    <mergeCell ref="E27:F27"/>
    <mergeCell ref="H27:I27"/>
    <mergeCell ref="K27:L27"/>
    <mergeCell ref="N27:O27"/>
    <mergeCell ref="B28:C28"/>
    <mergeCell ref="E28:F28"/>
    <mergeCell ref="H28:I28"/>
    <mergeCell ref="K28:L28"/>
    <mergeCell ref="N28:O28"/>
    <mergeCell ref="E29:F29"/>
    <mergeCell ref="H29:I29"/>
    <mergeCell ref="K29:L29"/>
    <mergeCell ref="N29:O29"/>
    <mergeCell ref="G33:I33"/>
    <mergeCell ref="J33:L33"/>
    <mergeCell ref="M33:O33"/>
    <mergeCell ref="A34:B34"/>
    <mergeCell ref="C34:F34"/>
    <mergeCell ref="G34:I34"/>
    <mergeCell ref="J34:L34"/>
    <mergeCell ref="M34:O34"/>
    <mergeCell ref="A30:C30"/>
    <mergeCell ref="E30:F30"/>
    <mergeCell ref="H30:I30"/>
    <mergeCell ref="K30:L30"/>
    <mergeCell ref="N30:O30"/>
    <mergeCell ref="A31:O31"/>
    <mergeCell ref="A32:F32"/>
    <mergeCell ref="G32:I32"/>
    <mergeCell ref="J32:L32"/>
    <mergeCell ref="M32:O32"/>
    <mergeCell ref="A37:O37"/>
    <mergeCell ref="E38:O38"/>
    <mergeCell ref="E39:F39"/>
    <mergeCell ref="G39:I39"/>
    <mergeCell ref="J39:L39"/>
    <mergeCell ref="M39:O39"/>
    <mergeCell ref="A17:A22"/>
    <mergeCell ref="A23:A25"/>
    <mergeCell ref="A26:A28"/>
    <mergeCell ref="B18:B20"/>
    <mergeCell ref="B23:B25"/>
    <mergeCell ref="A38:B39"/>
    <mergeCell ref="A35:B35"/>
    <mergeCell ref="C35:F35"/>
    <mergeCell ref="G35:I35"/>
    <mergeCell ref="J35:L35"/>
    <mergeCell ref="M35:O35"/>
    <mergeCell ref="A36:B36"/>
    <mergeCell ref="C36:F36"/>
    <mergeCell ref="G36:I36"/>
    <mergeCell ref="J36:L36"/>
    <mergeCell ref="M36:O36"/>
    <mergeCell ref="A33:B33"/>
    <mergeCell ref="C33:F33"/>
  </mergeCells>
  <phoneticPr fontId="19" type="noConversion"/>
  <dataValidations count="17">
    <dataValidation type="list" allowBlank="1" showInputMessage="1" showErrorMessage="1" sqref="F4" xr:uid="{00000000-0002-0000-0000-000000000000}">
      <formula1>"打不过的竞争对手,衰弱数据库公司,数据库运维服务商,数据库代理商,xPU,云厂商,基础软件厂商,计算厂商,存储厂商,安全厂商,数通厂商,SI,行业 ISV,区域地头蛇,其他"</formula1>
    </dataValidation>
    <dataValidation type="list" allowBlank="1" showInputMessage="1" showErrorMessage="1" sqref="F6" xr:uid="{00000000-0002-0000-0000-000001000000}">
      <formula1>"A1-A3,A4-A6,P1-P3,P4-P6,A7-A9,M1-M3"</formula1>
    </dataValidation>
    <dataValidation type="list" allowBlank="1" showInputMessage="1" showErrorMessage="1" sqref="E16:F16 H16:I16 K16:L16 N16:O16" xr:uid="{00000000-0002-0000-0000-000002000000}">
      <formula1>"90–100：主动拥抱 AI，精通工具，高效挖掘线索、智能复盘、优化话术，显著提升转化率与人效；持续学习前沿应用，带动团队，引领 AI 驱动销售文化,80-89：认可 AI 价值，熟练使用核心工具辅助业务，效率提升明显，关注新应用并主动分享,0：被动使用 AI，掌握基础功能，能完成简单任务，效率提升有限，学习主动性弱，分享少,0：尝试使用 AI 但效果差，偶有抵触，学习意愿低，未带来实际效益,0：拒绝使用 AI，固守旧法，效率低下，抵制学习，阻碍团队数字化"</formula1>
    </dataValidation>
    <dataValidation type="list" allowBlank="1" showInputMessage="1" showErrorMessage="1" sqref="E17:F17 H17:I17 K17:L17 N17:O17" xr:uid="{00000000-0002-0000-0000-000003000000}">
      <formula1>"90–100：热爱服务与交付，以客户成功为成就，主动解决问题、扛事、优化。,80–89：认可服务价值，责任心强，主动跟进，耐心抗压。,0分：不排斥服务，能按流程完成，耐心尚可。,0分：兴趣一般，被动响应，易烦躁。,0分：讨厌服务、怕客户、怕麻烦，推诿敷衍。"</formula1>
    </dataValidation>
    <dataValidation type="list" allowBlank="1" showInputMessage="1" showErrorMessage="1" sqref="E18:F18 H18:I18 K18:L18 N18:O18" xr:uid="{00000000-0002-0000-0000-000004000000}">
      <formula1>"100：数理竞赛 国奖 / 省一,90：高考数学 ≥ 135,80：高考数学≥211平均分,0：高考数学＜211平均分"</formula1>
    </dataValidation>
    <dataValidation type="list" allowBlank="1" showInputMessage="1" showErrorMessage="1" sqref="E19:F19 H19:I19 K19:L19 N19:O19" xr:uid="{00000000-0002-0000-0000-000005000000}">
      <formula1>"100：中档985,95：211专业对口和低档985,90：211对口以外的,85：双一流专业对口,80：普通本科专业对口,0：低于普通本科对口"</formula1>
    </dataValidation>
    <dataValidation type="list" allowBlank="1" showInputMessage="1" showErrorMessage="1" sqref="E20:F20 H20:I20 K20:L20 N20:O20" xr:uid="{00000000-0002-0000-0000-000006000000}">
      <formula1>"100：一眼穿透本质，复杂→极简,90：结构化梳理，剔除冗余,80：能讲清楚，但不够精炼,0：重点模糊，表达偏散,0：越讲越复杂，无结构"</formula1>
    </dataValidation>
    <dataValidation type="list" allowBlank="1" showInputMessage="1" showErrorMessage="1" sqref="E21:F21 H21:I21 K21:L21 N21:O21" xr:uid="{00000000-0002-0000-0000-000007000000}">
      <formula1>"90–100：问题不解决不离场，紧急故障主动扛，再苦再累也要交付成功。,80–89：以客户成功为底线，敢担责、不甩锅，问题闭环到底。,0：能按要求完成交付，有基本责任心。,0：怕麻烦怕加班，被动应付，主动性弱。,0：怕担责、敷衍推诿、情绪优先。"</formula1>
    </dataValidation>
    <dataValidation type="list" allowBlank="1" showInputMessage="1" showErrorMessage="1" sqref="E22:F22 H22:I22 K22:L22 N22:O22" xr:uid="{00000000-0002-0000-0000-000008000000}">
      <formula1>"90–100：极度耐心稳定，先安抚再解决，扛压扛委屈，能化解冲突、建立信任,80–89：情绪稳定，会安抚客户，冲突理性处理。,70–79：基本耐心，职业规范内沟通正常。,0：耐心不足，易烦躁，态度易受影响。,0：情绪易爆，怼客户、甩脸色，破坏口碑。"</formula1>
    </dataValidation>
    <dataValidation type="list" allowBlank="1" showInputMessage="1" showErrorMessage="1" sqref="E23:F23 H23:I23 K23:L23 N23:O23" xr:uid="{00000000-0002-0000-0000-000009000000}">
      <formula1>"95-100分：硬能力认证 5级
,90-95分：硬能力认证 4级
,80-90分：硬能力认证 3级,
70-80分：硬能力认证2级,60-70分：硬能力认证1级
,&lt;60分：不合格，淘汰"</formula1>
    </dataValidation>
    <dataValidation type="list" allowBlank="1" showInputMessage="1" showErrorMessage="1" sqref="E24:F24 H24:I24 K24:L24 N24:O24" xr:uid="{00000000-0002-0000-0000-00000A000000}">
      <formula1>"95-100分：软能力认证 5级
,90-95分：软能力认证 4级
,80-90分：软能力认证 3级,
70-80分：软能力认证2级,60-70分：软能力认证1级
,&lt;60分：不合格，淘汰"</formula1>
    </dataValidation>
    <dataValidation type="list" allowBlank="1" showInputMessage="1" showErrorMessage="1" sqref="E25:F25 H25:I25 K25:L25 N25:O25" xr:uid="{00000000-0002-0000-0000-00000B000000}">
      <formula1>"80-100：非常积极,60-80：积极,0：不积极"</formula1>
    </dataValidation>
    <dataValidation type="list" allowBlank="1" showInputMessage="1" showErrorMessage="1" sqref="E26:F26 H26:I26 K26:L26 N26:O26" xr:uid="{00000000-0002-0000-0000-00000C000000}">
      <formula1>"90-100：精准拆解战略目标，路径清晰、节点明确、资源匹配合理；预见性识别关键风险并提前布局；团队对目标和节奏高度认同，执行顺畅无偏差。,80-89：能制定清晰计划，目标拆解合理，关键节点明确；主要风险有预案，执行基本顺畅，偶需微调。,70-79：计划基本可行，但细节不够完善或资源考虑不周；风险识别不全，执行中需多次调整方向。,60-69：计划粗糙，拆解不清，路径模糊；风险频发且应对被动，执行混乱，多次返工或延期。,&lt;60：无计划或计划完全不可行，项目推进失控，频繁失败。"</formula1>
    </dataValidation>
    <dataValidation type="list" allowBlank="1" showInputMessage="1" showErrorMessage="1" sqref="E27:F27 H27:I27 K27:L27 N27:O27" xr:uid="{00000000-0002-0000-0000-00000D000000}">
      <formula1>"90-100：慧眼识人，精准识别高潜，敢于任用能力强于自己的人；人岗匹配、用人所长，骨干梯队健康、不断涌现。,80-89：能识别优秀人才，任用基本合理；骨干队伍稳定，能支撑业务，偶有偏差能及时调整。,70-79：识人眼光一般，任用存在错配，但骨干队伍基本稳定。,60-69：识人眼光差，频繁用错人；骨干流失严重或长期空缺，影响团队战斗力。,&lt;60：嫉贤妒能，压制人才；团队投诉多；团队无骨干或骨干全是庸才，团队溃散。"</formula1>
    </dataValidation>
    <dataValidation type="list" allowBlank="1" showInputMessage="1" showErrorMessage="1" sqref="E28:F28 H28:I28 K28:L28 N28:O28" xr:uid="{00000000-0002-0000-0000-00000E000000}">
      <formula1>"90-100：人效显著高于同规模团队；持续优化流程、工具和方法，激发团队潜能；人才培养体系完善，新人上手快、老人持续成长。,90-100：人效显著高于同规模团队；持续优化流程、工具和方法，激发团队潜能；人才培养体系完善，新人上手快、老人持续成长。,70-79：勉强完成目标；流程工具基本到位但缺乏主动优化；人才培养偶有亮点但不系统。,60-69：经常加班却产出不佳；流程混乱，工具落后，士气低落；忽视人才培养，新人成长慢。,&lt;60：产出无法支撑业务，流程僵化或缺失，士气崩坏；无人可用，成为业务瓶颈。"</formula1>
    </dataValidation>
    <dataValidation type="list" allowBlank="1" showInputMessage="1" showErrorMessage="1" sqref="H29:I29 K29:L29 N29" xr:uid="{00000000-0002-0000-0000-00000F000000}">
      <formula1>"90-100分：精通产品行业，能独立做方案、辅导招投标,80-89分：熟产品懂行业，可独立撰写定制化解决方案,70-79分：掌握基础专业知识，能独立解答客户常规咨询,60-69分：专业基础薄弱，需辅助完成客户对接讲解,＜60分：专业知识匮乏，无法独立对接客户、讲解产品"</formula1>
    </dataValidation>
    <dataValidation allowBlank="1" showInputMessage="1" showErrorMessage="1" sqref="M10:M12" xr:uid="{00000000-0002-0000-0000-000010000000}"/>
  </dataValidations>
  <pageMargins left="0.7" right="0.7" top="0.75" bottom="0.75" header="0.3" footer="0.3"/>
  <ignoredErrors>
    <ignoredError sqref="F23:F25 P16:XFD23 A1:XFD3 A4:D6 G4:XFD4 G5:XFD5 G6:XFD6 A7:XFD8 G9:XFD9 P10:XFD12 A13:XFD15 A16:C20 F20 A21:C21 A23:C25 A29:F29 A30:C30 H29:I29 K29:L29 N29:XFD29 P30:XFD30 A37:XFD41 B35:XFD36 C33:XFD34 A31:XFD32 B42:XFD42 A22:C22 F22 F21 F16 F17 F18 F19 A26:D26 F26 A27:D27 F27 A28:D28 F28" listDataValidation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431" r:id="rId3" name="Check Box 287">
              <controlPr defaultSize="0" autoPict="0">
                <anchor moveWithCells="1">
                  <from>
                    <xdr:col>6</xdr:col>
                    <xdr:colOff>457200</xdr:colOff>
                    <xdr:row>8</xdr:row>
                    <xdr:rowOff>304800</xdr:rowOff>
                  </from>
                  <to>
                    <xdr:col>7</xdr:col>
                    <xdr:colOff>137160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2" r:id="rId4" name="Check Box 288">
              <controlPr defaultSize="0" autoPict="0">
                <anchor moveWithCells="1">
                  <from>
                    <xdr:col>7</xdr:col>
                    <xdr:colOff>175260</xdr:colOff>
                    <xdr:row>9</xdr:row>
                    <xdr:rowOff>0</xdr:rowOff>
                  </from>
                  <to>
                    <xdr:col>7</xdr:col>
                    <xdr:colOff>914400</xdr:colOff>
                    <xdr:row>10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3" r:id="rId5" name="Check Box 289">
              <controlPr defaultSize="0" autoPict="0">
                <anchor moveWithCells="1">
                  <from>
                    <xdr:col>8</xdr:col>
                    <xdr:colOff>60960</xdr:colOff>
                    <xdr:row>9</xdr:row>
                    <xdr:rowOff>0</xdr:rowOff>
                  </from>
                  <to>
                    <xdr:col>8</xdr:col>
                    <xdr:colOff>815340</xdr:colOff>
                    <xdr:row>10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7" r:id="rId6" name="Check Box 293">
              <controlPr defaultSize="0" autoPict="0">
                <anchor moveWithCells="1">
                  <from>
                    <xdr:col>6</xdr:col>
                    <xdr:colOff>457200</xdr:colOff>
                    <xdr:row>9</xdr:row>
                    <xdr:rowOff>304800</xdr:rowOff>
                  </from>
                  <to>
                    <xdr:col>7</xdr:col>
                    <xdr:colOff>137160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8" r:id="rId7" name="Check Box 294">
              <controlPr defaultSize="0" autoPict="0">
                <anchor moveWithCells="1">
                  <from>
                    <xdr:col>7</xdr:col>
                    <xdr:colOff>175260</xdr:colOff>
                    <xdr:row>10</xdr:row>
                    <xdr:rowOff>0</xdr:rowOff>
                  </from>
                  <to>
                    <xdr:col>7</xdr:col>
                    <xdr:colOff>914400</xdr:colOff>
                    <xdr:row>11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9" r:id="rId8" name="Check Box 295">
              <controlPr defaultSize="0" autoPict="0">
                <anchor moveWithCells="1">
                  <from>
                    <xdr:col>8</xdr:col>
                    <xdr:colOff>60960</xdr:colOff>
                    <xdr:row>10</xdr:row>
                    <xdr:rowOff>0</xdr:rowOff>
                  </from>
                  <to>
                    <xdr:col>8</xdr:col>
                    <xdr:colOff>815340</xdr:colOff>
                    <xdr:row>11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0" r:id="rId9" name="Check Box 296">
              <controlPr defaultSize="0" autoPict="0">
                <anchor moveWithCells="1">
                  <from>
                    <xdr:col>6</xdr:col>
                    <xdr:colOff>457200</xdr:colOff>
                    <xdr:row>10</xdr:row>
                    <xdr:rowOff>304800</xdr:rowOff>
                  </from>
                  <to>
                    <xdr:col>7</xdr:col>
                    <xdr:colOff>137160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1" r:id="rId10" name="Check Box 297">
              <controlPr defaultSize="0" autoPict="0">
                <anchor moveWithCells="1">
                  <from>
                    <xdr:col>7</xdr:col>
                    <xdr:colOff>175260</xdr:colOff>
                    <xdr:row>11</xdr:row>
                    <xdr:rowOff>0</xdr:rowOff>
                  </from>
                  <to>
                    <xdr:col>7</xdr:col>
                    <xdr:colOff>914400</xdr:colOff>
                    <xdr:row>12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2" r:id="rId11" name="Check Box 298">
              <controlPr defaultSize="0" autoPict="0">
                <anchor moveWithCells="1">
                  <from>
                    <xdr:col>8</xdr:col>
                    <xdr:colOff>60960</xdr:colOff>
                    <xdr:row>11</xdr:row>
                    <xdr:rowOff>0</xdr:rowOff>
                  </from>
                  <to>
                    <xdr:col>8</xdr:col>
                    <xdr:colOff>815340</xdr:colOff>
                    <xdr:row>12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3" r:id="rId12" name="Check Box 299">
              <controlPr defaultSize="0" autoPict="0">
                <anchor moveWithCells="1">
                  <from>
                    <xdr:col>9</xdr:col>
                    <xdr:colOff>457200</xdr:colOff>
                    <xdr:row>8</xdr:row>
                    <xdr:rowOff>304800</xdr:rowOff>
                  </from>
                  <to>
                    <xdr:col>10</xdr:col>
                    <xdr:colOff>30480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4" r:id="rId13" name="Check Box 300">
              <controlPr defaultSize="0" autoPict="0">
                <anchor moveWithCells="1">
                  <from>
                    <xdr:col>10</xdr:col>
                    <xdr:colOff>175260</xdr:colOff>
                    <xdr:row>9</xdr:row>
                    <xdr:rowOff>0</xdr:rowOff>
                  </from>
                  <to>
                    <xdr:col>10</xdr:col>
                    <xdr:colOff>914400</xdr:colOff>
                    <xdr:row>10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5" r:id="rId14" name="Check Box 301">
              <controlPr defaultSize="0" autoPict="0">
                <anchor moveWithCells="1">
                  <from>
                    <xdr:col>11</xdr:col>
                    <xdr:colOff>60960</xdr:colOff>
                    <xdr:row>9</xdr:row>
                    <xdr:rowOff>0</xdr:rowOff>
                  </from>
                  <to>
                    <xdr:col>11</xdr:col>
                    <xdr:colOff>815340</xdr:colOff>
                    <xdr:row>10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6" r:id="rId15" name="Check Box 302">
              <controlPr defaultSize="0" autoPict="0">
                <anchor moveWithCells="1">
                  <from>
                    <xdr:col>9</xdr:col>
                    <xdr:colOff>457200</xdr:colOff>
                    <xdr:row>9</xdr:row>
                    <xdr:rowOff>304800</xdr:rowOff>
                  </from>
                  <to>
                    <xdr:col>10</xdr:col>
                    <xdr:colOff>30480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7" r:id="rId16" name="Check Box 303">
              <controlPr defaultSize="0" autoPict="0">
                <anchor moveWithCells="1">
                  <from>
                    <xdr:col>10</xdr:col>
                    <xdr:colOff>175260</xdr:colOff>
                    <xdr:row>10</xdr:row>
                    <xdr:rowOff>0</xdr:rowOff>
                  </from>
                  <to>
                    <xdr:col>10</xdr:col>
                    <xdr:colOff>914400</xdr:colOff>
                    <xdr:row>11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8" r:id="rId17" name="Check Box 304">
              <controlPr defaultSize="0" autoPict="0">
                <anchor moveWithCells="1">
                  <from>
                    <xdr:col>11</xdr:col>
                    <xdr:colOff>60960</xdr:colOff>
                    <xdr:row>10</xdr:row>
                    <xdr:rowOff>0</xdr:rowOff>
                  </from>
                  <to>
                    <xdr:col>11</xdr:col>
                    <xdr:colOff>815340</xdr:colOff>
                    <xdr:row>11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9" r:id="rId18" name="Check Box 305">
              <controlPr defaultSize="0" autoPict="0">
                <anchor moveWithCells="1">
                  <from>
                    <xdr:col>9</xdr:col>
                    <xdr:colOff>457200</xdr:colOff>
                    <xdr:row>10</xdr:row>
                    <xdr:rowOff>304800</xdr:rowOff>
                  </from>
                  <to>
                    <xdr:col>10</xdr:col>
                    <xdr:colOff>30480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0" r:id="rId19" name="Check Box 306">
              <controlPr defaultSize="0" autoPict="0">
                <anchor moveWithCells="1">
                  <from>
                    <xdr:col>10</xdr:col>
                    <xdr:colOff>175260</xdr:colOff>
                    <xdr:row>11</xdr:row>
                    <xdr:rowOff>0</xdr:rowOff>
                  </from>
                  <to>
                    <xdr:col>10</xdr:col>
                    <xdr:colOff>914400</xdr:colOff>
                    <xdr:row>12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1" r:id="rId20" name="Check Box 307">
              <controlPr defaultSize="0" autoPict="0">
                <anchor moveWithCells="1">
                  <from>
                    <xdr:col>11</xdr:col>
                    <xdr:colOff>60960</xdr:colOff>
                    <xdr:row>11</xdr:row>
                    <xdr:rowOff>0</xdr:rowOff>
                  </from>
                  <to>
                    <xdr:col>11</xdr:col>
                    <xdr:colOff>815340</xdr:colOff>
                    <xdr:row>12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5" r:id="rId21" name="Check Box 311">
              <controlPr defaultSize="0" autoPict="0">
                <anchor moveWithCells="1">
                  <from>
                    <xdr:col>12</xdr:col>
                    <xdr:colOff>1066800</xdr:colOff>
                    <xdr:row>9</xdr:row>
                    <xdr:rowOff>0</xdr:rowOff>
                  </from>
                  <to>
                    <xdr:col>13</xdr:col>
                    <xdr:colOff>662940</xdr:colOff>
                    <xdr:row>10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6" r:id="rId22" name="Check Box 312">
              <controlPr defaultSize="0" autoPict="0">
                <anchor moveWithCells="1">
                  <from>
                    <xdr:col>13</xdr:col>
                    <xdr:colOff>533400</xdr:colOff>
                    <xdr:row>9</xdr:row>
                    <xdr:rowOff>0</xdr:rowOff>
                  </from>
                  <to>
                    <xdr:col>13</xdr:col>
                    <xdr:colOff>1280160</xdr:colOff>
                    <xdr:row>10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7" r:id="rId23" name="Check Box 313">
              <controlPr defaultSize="0" autoPict="0">
                <anchor moveWithCells="1">
                  <from>
                    <xdr:col>12</xdr:col>
                    <xdr:colOff>1066800</xdr:colOff>
                    <xdr:row>10</xdr:row>
                    <xdr:rowOff>0</xdr:rowOff>
                  </from>
                  <to>
                    <xdr:col>13</xdr:col>
                    <xdr:colOff>662940</xdr:colOff>
                    <xdr:row>11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8" r:id="rId24" name="Check Box 314">
              <controlPr defaultSize="0" autoPict="0">
                <anchor moveWithCells="1">
                  <from>
                    <xdr:col>13</xdr:col>
                    <xdr:colOff>533400</xdr:colOff>
                    <xdr:row>10</xdr:row>
                    <xdr:rowOff>0</xdr:rowOff>
                  </from>
                  <to>
                    <xdr:col>13</xdr:col>
                    <xdr:colOff>1280160</xdr:colOff>
                    <xdr:row>11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9" r:id="rId25" name="Check Box 315">
              <controlPr defaultSize="0" autoPict="0">
                <anchor moveWithCells="1">
                  <from>
                    <xdr:col>12</xdr:col>
                    <xdr:colOff>1066800</xdr:colOff>
                    <xdr:row>11</xdr:row>
                    <xdr:rowOff>0</xdr:rowOff>
                  </from>
                  <to>
                    <xdr:col>13</xdr:col>
                    <xdr:colOff>662940</xdr:colOff>
                    <xdr:row>12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0" r:id="rId26" name="Check Box 316">
              <controlPr defaultSize="0" autoPict="0">
                <anchor moveWithCells="1">
                  <from>
                    <xdr:col>13</xdr:col>
                    <xdr:colOff>533400</xdr:colOff>
                    <xdr:row>11</xdr:row>
                    <xdr:rowOff>0</xdr:rowOff>
                  </from>
                  <to>
                    <xdr:col>13</xdr:col>
                    <xdr:colOff>1280160</xdr:colOff>
                    <xdr:row>12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1" r:id="rId27" name="Check Box 317">
              <controlPr defaultSize="0" autoPict="0">
                <anchor moveWithCells="1">
                  <from>
                    <xdr:col>6</xdr:col>
                    <xdr:colOff>762000</xdr:colOff>
                    <xdr:row>5</xdr:row>
                    <xdr:rowOff>0</xdr:rowOff>
                  </from>
                  <to>
                    <xdr:col>7</xdr:col>
                    <xdr:colOff>487680</xdr:colOff>
                    <xdr:row>6</xdr:row>
                    <xdr:rowOff>91440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2" r:id="rId28" name="Check Box 318">
              <controlPr defaultSize="0" autoPict="0">
                <anchor moveWithCells="1">
                  <from>
                    <xdr:col>8</xdr:col>
                    <xdr:colOff>228600</xdr:colOff>
                    <xdr:row>5</xdr:row>
                    <xdr:rowOff>0</xdr:rowOff>
                  </from>
                  <to>
                    <xdr:col>8</xdr:col>
                    <xdr:colOff>990600</xdr:colOff>
                    <xdr:row>6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3" r:id="rId29" name="Check Box 319">
              <controlPr defaultSize="0" autoPict="0">
                <anchor moveWithCells="1">
                  <from>
                    <xdr:col>9</xdr:col>
                    <xdr:colOff>952500</xdr:colOff>
                    <xdr:row>5</xdr:row>
                    <xdr:rowOff>0</xdr:rowOff>
                  </from>
                  <to>
                    <xdr:col>10</xdr:col>
                    <xdr:colOff>525780</xdr:colOff>
                    <xdr:row>6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4" r:id="rId30" name="Check Box 320">
              <controlPr defaultSize="0" autoPict="0">
                <anchor moveWithCells="1">
                  <from>
                    <xdr:col>11</xdr:col>
                    <xdr:colOff>228600</xdr:colOff>
                    <xdr:row>5</xdr:row>
                    <xdr:rowOff>0</xdr:rowOff>
                  </from>
                  <to>
                    <xdr:col>11</xdr:col>
                    <xdr:colOff>990600</xdr:colOff>
                    <xdr:row>6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5" r:id="rId31" name="Check Box 321">
              <controlPr defaultSize="0" autoPict="0">
                <anchor moveWithCells="1">
                  <from>
                    <xdr:col>12</xdr:col>
                    <xdr:colOff>838200</xdr:colOff>
                    <xdr:row>5</xdr:row>
                    <xdr:rowOff>0</xdr:rowOff>
                  </from>
                  <to>
                    <xdr:col>13</xdr:col>
                    <xdr:colOff>434340</xdr:colOff>
                    <xdr:row>6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6" r:id="rId32" name="Check Box 322">
              <controlPr defaultSize="0" autoPict="0">
                <anchor moveWithCells="1">
                  <from>
                    <xdr:col>13</xdr:col>
                    <xdr:colOff>327660</xdr:colOff>
                    <xdr:row>5</xdr:row>
                    <xdr:rowOff>0</xdr:rowOff>
                  </from>
                  <to>
                    <xdr:col>13</xdr:col>
                    <xdr:colOff>1082040</xdr:colOff>
                    <xdr:row>6</xdr:row>
                    <xdr:rowOff>167640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"/>
  <sheetViews>
    <sheetView zoomScale="80" zoomScaleNormal="80" workbookViewId="0">
      <selection activeCell="P22" sqref="P22"/>
    </sheetView>
  </sheetViews>
  <sheetFormatPr defaultColWidth="8.88671875" defaultRowHeight="13.8"/>
  <sheetData>
    <row r="1" spans="1:16" ht="17.399999999999999" customHeight="1">
      <c r="A1" s="176" t="s">
        <v>70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</row>
    <row r="2" spans="1:16" ht="15" customHeight="1">
      <c r="A2" s="178" t="s">
        <v>71</v>
      </c>
      <c r="B2" s="178"/>
      <c r="C2" s="178"/>
      <c r="D2" s="179" t="s">
        <v>72</v>
      </c>
      <c r="E2" s="179"/>
      <c r="F2" s="177" t="s">
        <v>73</v>
      </c>
      <c r="G2" s="177"/>
      <c r="H2" s="177"/>
      <c r="I2" s="177"/>
      <c r="J2" s="177"/>
      <c r="K2" s="180" t="s">
        <v>74</v>
      </c>
      <c r="L2" s="180"/>
      <c r="M2" s="180"/>
      <c r="N2" s="180"/>
      <c r="O2" s="180"/>
      <c r="P2" s="180"/>
    </row>
    <row r="3" spans="1:16" ht="15" customHeight="1">
      <c r="A3" s="178"/>
      <c r="B3" s="178"/>
      <c r="C3" s="178"/>
      <c r="D3" s="179"/>
      <c r="E3" s="179"/>
      <c r="F3" s="177" t="s">
        <v>75</v>
      </c>
      <c r="G3" s="177"/>
      <c r="H3" s="177" t="s">
        <v>76</v>
      </c>
      <c r="I3" s="177"/>
      <c r="J3" s="177" t="s">
        <v>77</v>
      </c>
      <c r="K3" s="180"/>
      <c r="L3" s="180"/>
      <c r="M3" s="180"/>
      <c r="N3" s="180"/>
      <c r="O3" s="180"/>
      <c r="P3" s="180"/>
    </row>
    <row r="4" spans="1:16" ht="15">
      <c r="A4" s="178"/>
      <c r="B4" s="178"/>
      <c r="C4" s="178"/>
      <c r="D4" s="18" t="s">
        <v>78</v>
      </c>
      <c r="E4" s="19" t="s">
        <v>79</v>
      </c>
      <c r="F4" s="19" t="s">
        <v>72</v>
      </c>
      <c r="G4" s="19" t="s">
        <v>73</v>
      </c>
      <c r="H4" s="19" t="s">
        <v>72</v>
      </c>
      <c r="I4" s="19" t="s">
        <v>73</v>
      </c>
      <c r="J4" s="177"/>
      <c r="K4" s="21" t="s">
        <v>80</v>
      </c>
      <c r="L4" s="21" t="s">
        <v>21</v>
      </c>
      <c r="M4" s="21" t="s">
        <v>81</v>
      </c>
      <c r="N4" s="21" t="s">
        <v>82</v>
      </c>
      <c r="O4" s="21" t="s">
        <v>83</v>
      </c>
      <c r="P4" s="20" t="s">
        <v>84</v>
      </c>
    </row>
    <row r="5" spans="1:16" ht="15" customHeight="1">
      <c r="A5" s="168" t="s">
        <v>32</v>
      </c>
      <c r="B5" s="168"/>
      <c r="C5" s="23" t="s">
        <v>51</v>
      </c>
      <c r="D5" s="24" t="s">
        <v>51</v>
      </c>
      <c r="E5" s="25" t="s">
        <v>51</v>
      </c>
      <c r="F5" s="171">
        <v>0.5</v>
      </c>
      <c r="G5" s="26"/>
      <c r="H5" s="171">
        <v>0.5</v>
      </c>
      <c r="I5" s="26"/>
      <c r="J5" s="26"/>
      <c r="K5" s="173" t="s">
        <v>85</v>
      </c>
      <c r="L5" s="173"/>
      <c r="M5" s="173"/>
      <c r="N5" s="173"/>
      <c r="O5" s="173"/>
      <c r="P5" s="173"/>
    </row>
    <row r="6" spans="1:16" ht="15" customHeight="1">
      <c r="A6" s="168" t="s">
        <v>33</v>
      </c>
      <c r="B6" s="27" t="s">
        <v>34</v>
      </c>
      <c r="C6" s="23" t="s">
        <v>51</v>
      </c>
      <c r="D6" s="24" t="s">
        <v>51</v>
      </c>
      <c r="E6" s="25" t="s">
        <v>51</v>
      </c>
      <c r="F6" s="171"/>
      <c r="G6" s="26"/>
      <c r="H6" s="171"/>
      <c r="I6" s="26"/>
      <c r="J6" s="26"/>
      <c r="K6" s="173" t="s">
        <v>85</v>
      </c>
      <c r="L6" s="173"/>
      <c r="M6" s="173"/>
      <c r="N6" s="173"/>
      <c r="O6" s="173"/>
      <c r="P6" s="173"/>
    </row>
    <row r="7" spans="1:16" ht="15" customHeight="1">
      <c r="A7" s="168"/>
      <c r="B7" s="27" t="s">
        <v>86</v>
      </c>
      <c r="C7" s="23">
        <v>0.5</v>
      </c>
      <c r="D7" s="169">
        <v>0.5</v>
      </c>
      <c r="E7" s="171">
        <v>0.5</v>
      </c>
      <c r="F7" s="171"/>
      <c r="G7" s="26"/>
      <c r="H7" s="171"/>
      <c r="I7" s="26"/>
      <c r="J7" s="26"/>
      <c r="K7" s="173" t="s">
        <v>85</v>
      </c>
      <c r="L7" s="173"/>
      <c r="M7" s="173"/>
      <c r="N7" s="173"/>
      <c r="O7" s="173"/>
      <c r="P7" s="173"/>
    </row>
    <row r="8" spans="1:16" ht="15" customHeight="1">
      <c r="A8" s="168"/>
      <c r="B8" s="27" t="s">
        <v>87</v>
      </c>
      <c r="C8" s="23">
        <v>0.3</v>
      </c>
      <c r="D8" s="169"/>
      <c r="E8" s="171"/>
      <c r="F8" s="171"/>
      <c r="G8" s="26"/>
      <c r="H8" s="171"/>
      <c r="I8" s="26"/>
      <c r="J8" s="26"/>
      <c r="K8" s="173" t="s">
        <v>85</v>
      </c>
      <c r="L8" s="173"/>
      <c r="M8" s="173"/>
      <c r="N8" s="173"/>
      <c r="O8" s="173"/>
      <c r="P8" s="173"/>
    </row>
    <row r="9" spans="1:16" ht="15" customHeight="1">
      <c r="A9" s="168"/>
      <c r="B9" s="27" t="s">
        <v>88</v>
      </c>
      <c r="C9" s="23">
        <v>0.2</v>
      </c>
      <c r="D9" s="169"/>
      <c r="E9" s="171"/>
      <c r="F9" s="171"/>
      <c r="G9" s="26"/>
      <c r="H9" s="171"/>
      <c r="I9" s="26"/>
      <c r="J9" s="26"/>
      <c r="K9" s="173" t="s">
        <v>89</v>
      </c>
      <c r="L9" s="173"/>
      <c r="M9" s="173"/>
      <c r="N9" s="173"/>
      <c r="O9" s="173"/>
      <c r="P9" s="173"/>
    </row>
    <row r="10" spans="1:16" ht="15" customHeight="1">
      <c r="A10" s="22" t="s">
        <v>41</v>
      </c>
      <c r="B10" s="27" t="s">
        <v>42</v>
      </c>
      <c r="C10" s="23">
        <v>1</v>
      </c>
      <c r="D10" s="24">
        <v>0.5</v>
      </c>
      <c r="E10" s="25">
        <v>0.2</v>
      </c>
      <c r="F10" s="171">
        <v>0.2</v>
      </c>
      <c r="G10" s="26"/>
      <c r="H10" s="171">
        <v>0.8</v>
      </c>
      <c r="I10" s="26"/>
      <c r="J10" s="26"/>
      <c r="K10" s="28"/>
      <c r="L10" s="28" t="s">
        <v>90</v>
      </c>
      <c r="M10" s="28" t="s">
        <v>91</v>
      </c>
      <c r="N10" s="28" t="s">
        <v>92</v>
      </c>
      <c r="O10" s="28" t="s">
        <v>91</v>
      </c>
      <c r="P10" s="29" t="s">
        <v>93</v>
      </c>
    </row>
    <row r="11" spans="1:16" ht="15" customHeight="1">
      <c r="A11" s="168" t="s">
        <v>46</v>
      </c>
      <c r="B11" s="27" t="s">
        <v>94</v>
      </c>
      <c r="C11" s="23">
        <v>0.3</v>
      </c>
      <c r="D11" s="170" t="s">
        <v>51</v>
      </c>
      <c r="E11" s="171">
        <v>0.3</v>
      </c>
      <c r="F11" s="171"/>
      <c r="G11" s="26"/>
      <c r="H11" s="171"/>
      <c r="I11" s="26"/>
      <c r="J11" s="26"/>
      <c r="K11" s="30"/>
      <c r="L11" s="30"/>
      <c r="M11" s="30"/>
      <c r="N11" s="30"/>
      <c r="O11" s="31"/>
      <c r="P11" s="32"/>
    </row>
    <row r="12" spans="1:16" ht="15">
      <c r="A12" s="168"/>
      <c r="B12" s="27" t="s">
        <v>95</v>
      </c>
      <c r="C12" s="23">
        <v>0.5</v>
      </c>
      <c r="D12" s="170"/>
      <c r="E12" s="171"/>
      <c r="F12" s="171"/>
      <c r="G12" s="26"/>
      <c r="H12" s="171"/>
      <c r="I12" s="26"/>
      <c r="J12" s="33"/>
      <c r="K12" s="30"/>
      <c r="L12" s="30"/>
      <c r="M12" s="30"/>
      <c r="N12" s="30"/>
      <c r="O12" s="28" t="s">
        <v>85</v>
      </c>
      <c r="P12" s="29" t="s">
        <v>96</v>
      </c>
    </row>
    <row r="13" spans="1:16" ht="15">
      <c r="A13" s="168"/>
      <c r="B13" s="27" t="s">
        <v>97</v>
      </c>
      <c r="C13" s="23">
        <v>0.2</v>
      </c>
      <c r="D13" s="170"/>
      <c r="E13" s="171"/>
      <c r="F13" s="171"/>
      <c r="G13" s="26"/>
      <c r="H13" s="171"/>
      <c r="I13" s="26"/>
      <c r="J13" s="33"/>
      <c r="K13" s="30"/>
      <c r="L13" s="30"/>
      <c r="M13" s="30"/>
      <c r="N13" s="30"/>
      <c r="O13" s="31"/>
      <c r="P13" s="32"/>
    </row>
    <row r="14" spans="1:16" ht="16.05" customHeight="1">
      <c r="A14" s="172" t="s">
        <v>98</v>
      </c>
      <c r="B14" s="172"/>
      <c r="C14" s="172"/>
      <c r="D14" s="174" t="s">
        <v>99</v>
      </c>
      <c r="E14" s="174"/>
      <c r="F14" s="174"/>
      <c r="G14" s="174"/>
      <c r="H14" s="174"/>
      <c r="I14" s="175" t="s">
        <v>100</v>
      </c>
      <c r="J14" s="167"/>
      <c r="K14" s="175" t="s">
        <v>101</v>
      </c>
      <c r="L14" s="36" t="s">
        <v>102</v>
      </c>
      <c r="M14" s="36" t="s">
        <v>103</v>
      </c>
      <c r="N14" s="36" t="s">
        <v>93</v>
      </c>
      <c r="O14" s="36" t="s">
        <v>104</v>
      </c>
      <c r="P14" s="37" t="s">
        <v>105</v>
      </c>
    </row>
    <row r="15" spans="1:16" ht="16.05" customHeight="1">
      <c r="A15" s="172"/>
      <c r="B15" s="172"/>
      <c r="C15" s="172"/>
      <c r="D15" s="167" t="s">
        <v>106</v>
      </c>
      <c r="E15" s="167"/>
      <c r="F15" s="167"/>
      <c r="G15" s="167"/>
      <c r="H15" s="167"/>
      <c r="I15" s="175"/>
      <c r="J15" s="167"/>
      <c r="K15" s="175"/>
      <c r="L15" s="35" t="s">
        <v>107</v>
      </c>
      <c r="M15" s="34" t="s">
        <v>108</v>
      </c>
      <c r="N15" s="34" t="s">
        <v>109</v>
      </c>
      <c r="O15" s="34" t="s">
        <v>110</v>
      </c>
      <c r="P15" s="38" t="s">
        <v>111</v>
      </c>
    </row>
  </sheetData>
  <mergeCells count="30">
    <mergeCell ref="A1:P1"/>
    <mergeCell ref="F2:J2"/>
    <mergeCell ref="F3:G3"/>
    <mergeCell ref="H3:I3"/>
    <mergeCell ref="A5:B5"/>
    <mergeCell ref="K5:P5"/>
    <mergeCell ref="J3:J4"/>
    <mergeCell ref="A2:C4"/>
    <mergeCell ref="D2:E3"/>
    <mergeCell ref="K2:P3"/>
    <mergeCell ref="K6:P6"/>
    <mergeCell ref="K7:P7"/>
    <mergeCell ref="K8:P8"/>
    <mergeCell ref="K9:P9"/>
    <mergeCell ref="D14:H14"/>
    <mergeCell ref="I14:I15"/>
    <mergeCell ref="J14:J15"/>
    <mergeCell ref="K14:K15"/>
    <mergeCell ref="D15:H15"/>
    <mergeCell ref="A6:A9"/>
    <mergeCell ref="A11:A13"/>
    <mergeCell ref="D7:D9"/>
    <mergeCell ref="D11:D13"/>
    <mergeCell ref="E7:E9"/>
    <mergeCell ref="E11:E13"/>
    <mergeCell ref="F5:F9"/>
    <mergeCell ref="F10:F13"/>
    <mergeCell ref="H5:H9"/>
    <mergeCell ref="H10:H13"/>
    <mergeCell ref="A14:C15"/>
  </mergeCells>
  <phoneticPr fontId="1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4"/>
  <sheetViews>
    <sheetView topLeftCell="A14" workbookViewId="0">
      <selection activeCell="D6" sqref="D6"/>
    </sheetView>
  </sheetViews>
  <sheetFormatPr defaultColWidth="8.88671875" defaultRowHeight="13.8"/>
  <cols>
    <col min="1" max="8" width="27.21875" customWidth="1"/>
  </cols>
  <sheetData>
    <row r="1" spans="1:26" ht="15" customHeight="1">
      <c r="A1" s="185" t="s">
        <v>71</v>
      </c>
      <c r="B1" s="185"/>
      <c r="C1" s="1" t="s">
        <v>112</v>
      </c>
      <c r="D1" s="1" t="s">
        <v>113</v>
      </c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84.25" customHeight="1">
      <c r="A2" s="186" t="s">
        <v>32</v>
      </c>
      <c r="B2" s="186"/>
      <c r="C2" s="6">
        <v>80</v>
      </c>
      <c r="D2" s="7" t="s">
        <v>114</v>
      </c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3.75" customHeight="1">
      <c r="A3" s="184" t="s">
        <v>33</v>
      </c>
      <c r="B3" s="8" t="s">
        <v>34</v>
      </c>
      <c r="C3" s="8">
        <v>80</v>
      </c>
      <c r="D3" s="7" t="s">
        <v>115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184"/>
      <c r="B4" s="181" t="s">
        <v>86</v>
      </c>
      <c r="C4" s="181">
        <v>80</v>
      </c>
      <c r="D4" s="6" t="s">
        <v>36</v>
      </c>
      <c r="E4" s="6" t="s">
        <v>37</v>
      </c>
      <c r="F4" s="6" t="s">
        <v>38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5" customHeight="1">
      <c r="A5" s="184"/>
      <c r="B5" s="181"/>
      <c r="C5" s="181"/>
      <c r="D5" s="10" t="s">
        <v>116</v>
      </c>
      <c r="E5" s="11" t="s">
        <v>117</v>
      </c>
      <c r="F5" s="10" t="s">
        <v>118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78.95" customHeight="1">
      <c r="A6" s="184"/>
      <c r="B6" s="9" t="s">
        <v>88</v>
      </c>
      <c r="C6" s="12">
        <v>70</v>
      </c>
      <c r="D6" s="10" t="s">
        <v>119</v>
      </c>
      <c r="E6" s="13"/>
      <c r="F6" s="1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405" customHeight="1">
      <c r="A7" s="184"/>
      <c r="B7" s="9" t="s">
        <v>87</v>
      </c>
      <c r="C7" s="12">
        <v>80</v>
      </c>
      <c r="D7" s="10" t="s">
        <v>120</v>
      </c>
      <c r="E7" s="13"/>
      <c r="F7" s="1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184" t="s">
        <v>41</v>
      </c>
      <c r="B8" s="181" t="s">
        <v>42</v>
      </c>
      <c r="C8" s="182">
        <v>60</v>
      </c>
      <c r="D8" s="5" t="s">
        <v>45</v>
      </c>
      <c r="E8" s="5" t="s">
        <v>43</v>
      </c>
      <c r="F8" s="5" t="s">
        <v>44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79.2">
      <c r="A9" s="184"/>
      <c r="B9" s="181"/>
      <c r="C9" s="182"/>
      <c r="D9" s="10" t="s">
        <v>121</v>
      </c>
      <c r="E9" s="10" t="s">
        <v>122</v>
      </c>
      <c r="F9" s="10" t="s">
        <v>123</v>
      </c>
      <c r="G9" s="3"/>
      <c r="H9" s="3"/>
      <c r="I9" s="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92.4">
      <c r="A10" s="184"/>
      <c r="B10" s="14" t="s">
        <v>124</v>
      </c>
      <c r="C10" s="14" t="s">
        <v>51</v>
      </c>
      <c r="D10" s="15" t="s">
        <v>125</v>
      </c>
      <c r="E10" s="4"/>
      <c r="F10" s="13"/>
      <c r="G10" s="3"/>
      <c r="H10" s="3"/>
      <c r="I10" s="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79.2">
      <c r="A11" s="184"/>
      <c r="B11" s="9" t="s">
        <v>126</v>
      </c>
      <c r="C11" s="9" t="s">
        <v>51</v>
      </c>
      <c r="D11" s="10" t="s">
        <v>127</v>
      </c>
      <c r="E11" s="4"/>
      <c r="F11" s="13"/>
      <c r="G11" s="3"/>
      <c r="H11" s="3"/>
      <c r="I11" s="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5.19999999999999">
      <c r="A12" s="184"/>
      <c r="B12" s="9" t="s">
        <v>128</v>
      </c>
      <c r="C12" s="9" t="s">
        <v>51</v>
      </c>
      <c r="D12" s="10" t="s">
        <v>129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5.25" customHeight="1">
      <c r="A13" s="184" t="s">
        <v>46</v>
      </c>
      <c r="B13" s="9" t="s">
        <v>95</v>
      </c>
      <c r="C13" s="9">
        <v>80</v>
      </c>
      <c r="D13" s="10" t="s">
        <v>130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11.2">
      <c r="A14" s="184"/>
      <c r="B14" s="9" t="s">
        <v>94</v>
      </c>
      <c r="C14" s="9" t="s">
        <v>51</v>
      </c>
      <c r="D14" s="10" t="s">
        <v>131</v>
      </c>
      <c r="E14" s="4"/>
      <c r="F14" s="3"/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11.2">
      <c r="A15" s="184"/>
      <c r="B15" s="9" t="s">
        <v>132</v>
      </c>
      <c r="C15" s="9" t="s">
        <v>51</v>
      </c>
      <c r="D15" s="10" t="s">
        <v>133</v>
      </c>
      <c r="E15" s="4"/>
      <c r="F15" s="3"/>
      <c r="G15" s="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8" customHeight="1">
      <c r="A16" s="184" t="s">
        <v>50</v>
      </c>
      <c r="B16" s="184"/>
      <c r="C16" s="183" t="s">
        <v>134</v>
      </c>
      <c r="D16" s="16" t="s">
        <v>79</v>
      </c>
      <c r="E16" s="5" t="s">
        <v>78</v>
      </c>
      <c r="F16" s="5" t="s">
        <v>135</v>
      </c>
      <c r="G16" s="3"/>
      <c r="H16" s="3"/>
      <c r="I16" s="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66">
      <c r="A17" s="184"/>
      <c r="B17" s="184"/>
      <c r="C17" s="183"/>
      <c r="D17" s="10" t="s">
        <v>136</v>
      </c>
      <c r="E17" s="10" t="s">
        <v>136</v>
      </c>
      <c r="F17" s="10" t="s">
        <v>137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17"/>
      <c r="B18" s="17"/>
      <c r="C18" s="17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17"/>
      <c r="B19" s="17"/>
      <c r="C19" s="17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17"/>
      <c r="B20" s="17"/>
      <c r="C20" s="17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17"/>
      <c r="B21" s="17"/>
      <c r="C21" s="17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17"/>
      <c r="B22" s="17"/>
      <c r="C22" s="17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17"/>
      <c r="B23" s="17"/>
      <c r="C23" s="17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17"/>
      <c r="B24" s="17"/>
      <c r="C24" s="17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17"/>
      <c r="B25" s="17"/>
      <c r="C25" s="17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17"/>
      <c r="B26" s="17"/>
      <c r="C26" s="17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17"/>
      <c r="B27" s="17"/>
      <c r="C27" s="17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17"/>
      <c r="B28" s="17"/>
      <c r="C28" s="17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17"/>
      <c r="B29" s="17"/>
      <c r="C29" s="17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17"/>
      <c r="B30" s="17"/>
      <c r="C30" s="17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17"/>
      <c r="B31" s="17"/>
      <c r="C31" s="17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17"/>
      <c r="B32" s="17"/>
      <c r="C32" s="17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17"/>
      <c r="B33" s="17"/>
      <c r="C33" s="17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17"/>
      <c r="B34" s="17"/>
      <c r="C34" s="17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17"/>
      <c r="B35" s="17"/>
      <c r="C35" s="17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17"/>
      <c r="B36" s="17"/>
      <c r="C36" s="17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17"/>
      <c r="B37" s="17"/>
      <c r="C37" s="17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17"/>
      <c r="B38" s="17"/>
      <c r="C38" s="17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17"/>
      <c r="B39" s="17"/>
      <c r="C39" s="17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17"/>
      <c r="B40" s="17"/>
      <c r="C40" s="17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17"/>
      <c r="B41" s="17"/>
      <c r="C41" s="17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17"/>
      <c r="B42" s="17"/>
      <c r="C42" s="17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17"/>
      <c r="B43" s="17"/>
      <c r="C43" s="17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17"/>
      <c r="B44" s="17"/>
      <c r="C44" s="17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17"/>
      <c r="B45" s="17"/>
      <c r="C45" s="17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17"/>
      <c r="B46" s="17"/>
      <c r="C46" s="17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17"/>
      <c r="B47" s="17"/>
      <c r="C47" s="17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17"/>
      <c r="B48" s="17"/>
      <c r="C48" s="17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17"/>
      <c r="B49" s="17"/>
      <c r="C49" s="17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17"/>
      <c r="B50" s="17"/>
      <c r="C50" s="17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17"/>
      <c r="B51" s="17"/>
      <c r="C51" s="17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17"/>
      <c r="B52" s="17"/>
      <c r="C52" s="17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17"/>
      <c r="B53" s="17"/>
      <c r="C53" s="17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17"/>
      <c r="B54" s="17"/>
      <c r="C54" s="17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17"/>
      <c r="B55" s="17"/>
      <c r="C55" s="17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17"/>
      <c r="B56" s="17"/>
      <c r="C56" s="17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17"/>
      <c r="B57" s="17"/>
      <c r="C57" s="17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17"/>
      <c r="B58" s="17"/>
      <c r="C58" s="17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17"/>
      <c r="B59" s="17"/>
      <c r="C59" s="17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17"/>
      <c r="B60" s="17"/>
      <c r="C60" s="17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17"/>
      <c r="B61" s="17"/>
      <c r="C61" s="17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17"/>
      <c r="B62" s="17"/>
      <c r="C62" s="17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17"/>
      <c r="B63" s="17"/>
      <c r="C63" s="17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17"/>
      <c r="B64" s="17"/>
      <c r="C64" s="17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17"/>
      <c r="B65" s="17"/>
      <c r="C65" s="17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17"/>
      <c r="B66" s="17"/>
      <c r="C66" s="17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17"/>
      <c r="B67" s="17"/>
      <c r="C67" s="17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17"/>
      <c r="B68" s="17"/>
      <c r="C68" s="17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17"/>
      <c r="B69" s="17"/>
      <c r="C69" s="17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17"/>
      <c r="B70" s="17"/>
      <c r="C70" s="17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17"/>
      <c r="B71" s="17"/>
      <c r="C71" s="17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17"/>
      <c r="B72" s="17"/>
      <c r="C72" s="17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17"/>
      <c r="B73" s="17"/>
      <c r="C73" s="17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17"/>
      <c r="B74" s="17"/>
      <c r="C74" s="17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17"/>
      <c r="B75" s="17"/>
      <c r="C75" s="17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17"/>
      <c r="B76" s="17"/>
      <c r="C76" s="17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17"/>
      <c r="B77" s="17"/>
      <c r="C77" s="17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17"/>
      <c r="B78" s="17"/>
      <c r="C78" s="17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17"/>
      <c r="B79" s="17"/>
      <c r="C79" s="17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17"/>
      <c r="B80" s="17"/>
      <c r="C80" s="17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17"/>
      <c r="B81" s="17"/>
      <c r="C81" s="17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17"/>
      <c r="B82" s="17"/>
      <c r="C82" s="17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17"/>
      <c r="B83" s="17"/>
      <c r="C83" s="17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17"/>
      <c r="B84" s="17"/>
      <c r="C84" s="17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17"/>
      <c r="B85" s="17"/>
      <c r="C85" s="17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17"/>
      <c r="B86" s="17"/>
      <c r="C86" s="17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17"/>
      <c r="B87" s="17"/>
      <c r="C87" s="17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17"/>
      <c r="B88" s="17"/>
      <c r="C88" s="17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17"/>
      <c r="B89" s="17"/>
      <c r="C89" s="17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17"/>
      <c r="B90" s="17"/>
      <c r="C90" s="17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17"/>
      <c r="B91" s="17"/>
      <c r="C91" s="17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17"/>
      <c r="B92" s="17"/>
      <c r="C92" s="17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17"/>
      <c r="B93" s="17"/>
      <c r="C93" s="17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17"/>
      <c r="B94" s="17"/>
      <c r="C94" s="17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17"/>
      <c r="B95" s="17"/>
      <c r="C95" s="17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17"/>
      <c r="B96" s="17"/>
      <c r="C96" s="17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17"/>
      <c r="B97" s="17"/>
      <c r="C97" s="17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17"/>
      <c r="B98" s="17"/>
      <c r="C98" s="17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17"/>
      <c r="B99" s="17"/>
      <c r="C99" s="17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17"/>
      <c r="B100" s="17"/>
      <c r="C100" s="17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17"/>
      <c r="B101" s="17"/>
      <c r="C101" s="17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17"/>
      <c r="B102" s="17"/>
      <c r="C102" s="17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17"/>
      <c r="B103" s="17"/>
      <c r="C103" s="17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17"/>
      <c r="B104" s="17"/>
      <c r="C104" s="17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17"/>
      <c r="B105" s="17"/>
      <c r="C105" s="17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17"/>
      <c r="B106" s="17"/>
      <c r="C106" s="17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17"/>
      <c r="B107" s="17"/>
      <c r="C107" s="17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17"/>
      <c r="B108" s="17"/>
      <c r="C108" s="17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17"/>
      <c r="B109" s="17"/>
      <c r="C109" s="17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17"/>
      <c r="B110" s="17"/>
      <c r="C110" s="17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17"/>
      <c r="B111" s="17"/>
      <c r="C111" s="17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17"/>
      <c r="B112" s="17"/>
      <c r="C112" s="17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17"/>
      <c r="B113" s="17"/>
      <c r="C113" s="17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17"/>
      <c r="B114" s="17"/>
      <c r="C114" s="17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17"/>
      <c r="B115" s="17"/>
      <c r="C115" s="17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17"/>
      <c r="B116" s="17"/>
      <c r="C116" s="17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17"/>
      <c r="B117" s="17"/>
      <c r="C117" s="17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17"/>
      <c r="B118" s="17"/>
      <c r="C118" s="17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17"/>
      <c r="B119" s="17"/>
      <c r="C119" s="17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17"/>
      <c r="B120" s="17"/>
      <c r="C120" s="17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17"/>
      <c r="B121" s="17"/>
      <c r="C121" s="17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17"/>
      <c r="B122" s="17"/>
      <c r="C122" s="17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17"/>
      <c r="B123" s="17"/>
      <c r="C123" s="17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17"/>
      <c r="B124" s="17"/>
      <c r="C124" s="17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17"/>
      <c r="B125" s="17"/>
      <c r="C125" s="17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17"/>
      <c r="B126" s="17"/>
      <c r="C126" s="17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17"/>
      <c r="B127" s="17"/>
      <c r="C127" s="17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17"/>
      <c r="B128" s="17"/>
      <c r="C128" s="17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17"/>
      <c r="B129" s="17"/>
      <c r="C129" s="17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17"/>
      <c r="B130" s="17"/>
      <c r="C130" s="17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17"/>
      <c r="B131" s="17"/>
      <c r="C131" s="17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17"/>
      <c r="B132" s="17"/>
      <c r="C132" s="17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17"/>
      <c r="B133" s="17"/>
      <c r="C133" s="17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17"/>
      <c r="B134" s="17"/>
      <c r="C134" s="17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17"/>
      <c r="B135" s="17"/>
      <c r="C135" s="17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17"/>
      <c r="B136" s="17"/>
      <c r="C136" s="17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17"/>
      <c r="B137" s="17"/>
      <c r="C137" s="17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17"/>
      <c r="B138" s="17"/>
      <c r="C138" s="17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17"/>
      <c r="B139" s="17"/>
      <c r="C139" s="17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17"/>
      <c r="B140" s="17"/>
      <c r="C140" s="17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17"/>
      <c r="B141" s="17"/>
      <c r="C141" s="17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17"/>
      <c r="B142" s="17"/>
      <c r="C142" s="17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17"/>
      <c r="B143" s="17"/>
      <c r="C143" s="17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17"/>
      <c r="B144" s="17"/>
      <c r="C144" s="17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17"/>
      <c r="B145" s="17"/>
      <c r="C145" s="17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17"/>
      <c r="B146" s="17"/>
      <c r="C146" s="17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17"/>
      <c r="B147" s="17"/>
      <c r="C147" s="17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17"/>
      <c r="B148" s="17"/>
      <c r="C148" s="17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17"/>
      <c r="B149" s="17"/>
      <c r="C149" s="17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17"/>
      <c r="B150" s="17"/>
      <c r="C150" s="17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17"/>
      <c r="B151" s="17"/>
      <c r="C151" s="17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17"/>
      <c r="B152" s="17"/>
      <c r="C152" s="17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17"/>
      <c r="B153" s="17"/>
      <c r="C153" s="17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17"/>
      <c r="B154" s="17"/>
      <c r="C154" s="17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17"/>
      <c r="B155" s="17"/>
      <c r="C155" s="17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17"/>
      <c r="B156" s="17"/>
      <c r="C156" s="17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17"/>
      <c r="B157" s="17"/>
      <c r="C157" s="17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17"/>
      <c r="B158" s="17"/>
      <c r="C158" s="17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17"/>
      <c r="B159" s="17"/>
      <c r="C159" s="17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17"/>
      <c r="B160" s="17"/>
      <c r="C160" s="17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17"/>
      <c r="B161" s="17"/>
      <c r="C161" s="17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17"/>
      <c r="B162" s="17"/>
      <c r="C162" s="17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17"/>
      <c r="B163" s="17"/>
      <c r="C163" s="17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17"/>
      <c r="B164" s="17"/>
      <c r="C164" s="17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17"/>
      <c r="B165" s="17"/>
      <c r="C165" s="17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17"/>
      <c r="B166" s="17"/>
      <c r="C166" s="17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17"/>
      <c r="B167" s="17"/>
      <c r="C167" s="17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17"/>
      <c r="B168" s="17"/>
      <c r="C168" s="17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17"/>
      <c r="B169" s="17"/>
      <c r="C169" s="17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17"/>
      <c r="B170" s="17"/>
      <c r="C170" s="17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17"/>
      <c r="B171" s="17"/>
      <c r="C171" s="17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17"/>
      <c r="B172" s="17"/>
      <c r="C172" s="17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17"/>
      <c r="B173" s="17"/>
      <c r="C173" s="17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17"/>
      <c r="B174" s="17"/>
      <c r="C174" s="17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17"/>
      <c r="B175" s="17"/>
      <c r="C175" s="17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17"/>
      <c r="B176" s="17"/>
      <c r="C176" s="17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17"/>
      <c r="B177" s="17"/>
      <c r="C177" s="17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17"/>
      <c r="B178" s="17"/>
      <c r="C178" s="17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17"/>
      <c r="B179" s="17"/>
      <c r="C179" s="17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17"/>
      <c r="B180" s="17"/>
      <c r="C180" s="17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17"/>
      <c r="B181" s="17"/>
      <c r="C181" s="17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17"/>
      <c r="B182" s="17"/>
      <c r="C182" s="17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17"/>
      <c r="B183" s="17"/>
      <c r="C183" s="17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17"/>
      <c r="B184" s="17"/>
      <c r="C184" s="17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17"/>
      <c r="B185" s="17"/>
      <c r="C185" s="17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17"/>
      <c r="B186" s="17"/>
      <c r="C186" s="17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17"/>
      <c r="B187" s="17"/>
      <c r="C187" s="17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17"/>
      <c r="B188" s="17"/>
      <c r="C188" s="17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17"/>
      <c r="B189" s="17"/>
      <c r="C189" s="17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17"/>
      <c r="B190" s="17"/>
      <c r="C190" s="17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17"/>
      <c r="B191" s="17"/>
      <c r="C191" s="17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17"/>
      <c r="B192" s="17"/>
      <c r="C192" s="17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17"/>
      <c r="B193" s="17"/>
      <c r="C193" s="17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17"/>
      <c r="B194" s="17"/>
      <c r="C194" s="17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17"/>
      <c r="B195" s="17"/>
      <c r="C195" s="17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17"/>
      <c r="B196" s="17"/>
      <c r="C196" s="17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17"/>
      <c r="B197" s="17"/>
      <c r="C197" s="17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17"/>
      <c r="B198" s="17"/>
      <c r="C198" s="17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17"/>
      <c r="B199" s="17"/>
      <c r="C199" s="17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17"/>
      <c r="B200" s="17"/>
      <c r="C200" s="17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17"/>
      <c r="B201" s="17"/>
      <c r="C201" s="17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17"/>
      <c r="B202" s="17"/>
      <c r="C202" s="17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17"/>
      <c r="B203" s="17"/>
      <c r="C203" s="17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17"/>
      <c r="B204" s="17"/>
      <c r="C204" s="17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</sheetData>
  <mergeCells count="11">
    <mergeCell ref="C4:C5"/>
    <mergeCell ref="C8:C9"/>
    <mergeCell ref="C16:C17"/>
    <mergeCell ref="A16:B17"/>
    <mergeCell ref="A1:B1"/>
    <mergeCell ref="A2:B2"/>
    <mergeCell ref="A3:A7"/>
    <mergeCell ref="A8:A12"/>
    <mergeCell ref="A13:A15"/>
    <mergeCell ref="B4:B5"/>
    <mergeCell ref="B8:B9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服务岗位面试评价表</vt:lpstr>
      <vt:lpstr>录用规则</vt:lpstr>
      <vt:lpstr>评分标准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kimodi</dc:creator>
  <cp:lastModifiedBy>760325018@qq.com</cp:lastModifiedBy>
  <cp:lastPrinted>2022-04-08T18:51:00Z</cp:lastPrinted>
  <dcterms:created xsi:type="dcterms:W3CDTF">2015-06-23T02:17:00Z</dcterms:created>
  <dcterms:modified xsi:type="dcterms:W3CDTF">2026-05-21T07:01:24Z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E42924265E22405A8DD18AB65DDBEFE0_13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