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销售岗位面试评价表" sheetId="1" state="visible" r:id="rId1"/>
    <sheet name="录用规则" sheetId="2" state="visible" r:id="rId2"/>
    <sheet name="评分标准" sheetId="3" state="visible" r:id="rId3"/>
    <sheet name="Sheet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25">
    <font>
      <name val="等线"/>
      <charset val="134"/>
      <color theme="1"/>
      <sz val="11"/>
      <scheme val="minor"/>
    </font>
    <font>
      <name val="微软雅黑"/>
      <charset val="134"/>
      <b val="1"/>
      <color theme="1"/>
      <sz val="10"/>
    </font>
    <font>
      <name val="微软雅黑"/>
      <charset val="134"/>
      <color theme="1"/>
      <sz val="10"/>
    </font>
    <font>
      <name val="等线"/>
      <charset val="134"/>
      <color theme="1"/>
      <sz val="10"/>
      <scheme val="minor"/>
    </font>
    <font>
      <name val="微软雅黑"/>
      <charset val="134"/>
      <color rgb="FF3370FF"/>
      <sz val="10"/>
    </font>
    <font>
      <name val="等线"/>
      <charset val="134"/>
      <b val="1"/>
      <color rgb="FFFFFFFF"/>
      <sz val="9"/>
      <scheme val="minor"/>
    </font>
    <font>
      <name val="等线"/>
      <charset val="134"/>
      <b val="1"/>
      <color rgb="FF000000"/>
      <sz val="9"/>
      <scheme val="minor"/>
    </font>
    <font>
      <name val="等线"/>
      <charset val="134"/>
      <color rgb="FF000000"/>
      <sz val="10"/>
      <scheme val="minor"/>
    </font>
    <font>
      <name val="等线"/>
      <charset val="134"/>
      <color rgb="FF000000"/>
      <sz val="9"/>
      <scheme val="minor"/>
    </font>
    <font>
      <name val="等线"/>
      <charset val="134"/>
      <b val="1"/>
      <color rgb="FFFFFFFF"/>
      <sz val="12"/>
      <scheme val="minor"/>
    </font>
    <font>
      <name val="等线"/>
      <charset val="134"/>
      <b val="1"/>
      <color rgb="FFFFFFFF"/>
      <sz val="10"/>
      <scheme val="minor"/>
    </font>
    <font>
      <name val="等线"/>
      <charset val="134"/>
      <b val="1"/>
      <color rgb="FF000000"/>
      <sz val="10"/>
      <scheme val="minor"/>
    </font>
    <font>
      <name val="等线"/>
      <charset val="134"/>
      <b val="1"/>
      <color rgb="FFFF0000"/>
      <sz val="10"/>
      <scheme val="minor"/>
    </font>
    <font>
      <name val="微软雅黑"/>
      <charset val="134"/>
      <color theme="1"/>
      <sz val="11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color rgb="FFFF0000"/>
      <sz val="11"/>
    </font>
    <font>
      <name val="微软雅黑"/>
      <charset val="134"/>
      <b val="1"/>
      <color theme="0"/>
      <sz val="11"/>
    </font>
    <font>
      <name val="等线"/>
      <charset val="134"/>
      <color rgb="FFFF0000"/>
      <sz val="10"/>
      <scheme val="minor"/>
    </font>
    <font>
      <name val="微软雅黑"/>
      <charset val="134"/>
      <color rgb="FFFF0000"/>
      <sz val="12"/>
    </font>
    <font>
      <name val="微软雅黑"/>
      <charset val="134"/>
      <b val="1"/>
      <color theme="0"/>
      <sz val="14"/>
    </font>
    <font>
      <name val="等线"/>
      <charset val="134"/>
      <color rgb="FF1F2329"/>
      <sz val="12"/>
      <scheme val="minor"/>
    </font>
    <font>
      <name val="微软雅黑"/>
      <charset val="134"/>
      <sz val="10"/>
    </font>
    <font>
      <name val="Microsoft YaHei UI"/>
      <charset val="134"/>
      <family val="2"/>
      <color rgb="FF000000"/>
      <sz val="9"/>
    </font>
    <font>
      <name val="等线"/>
      <charset val="134"/>
      <family val="3"/>
      <sz val="9"/>
      <scheme val="minor"/>
    </font>
  </fonts>
  <fills count="22">
    <fill>
      <patternFill/>
    </fill>
    <fill>
      <patternFill patternType="gray125"/>
    </fill>
    <fill>
      <patternFill patternType="solid">
        <fgColor rgb="FFEE822F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8901333658864"/>
        <bgColor indexed="64"/>
      </patternFill>
    </fill>
    <fill>
      <patternFill patternType="solid">
        <fgColor theme="9" tint="0.7997375408185065"/>
        <bgColor indexed="64"/>
      </patternFill>
    </fill>
    <fill>
      <patternFill patternType="solid">
        <fgColor theme="8" tint="0.7997375408185065"/>
        <bgColor indexed="64"/>
      </patternFill>
    </fill>
    <fill>
      <patternFill patternType="solid">
        <fgColor theme="7" tint="0.7998596148564104"/>
        <bgColor indexed="64"/>
      </patternFill>
    </fill>
    <fill>
      <patternFill patternType="solid">
        <fgColor theme="9" tint="0.7997070223090305"/>
        <bgColor indexed="64"/>
      </patternFill>
    </fill>
    <fill>
      <patternFill patternType="solid">
        <fgColor theme="8" tint="0.7997070223090305"/>
        <bgColor indexed="64"/>
      </patternFill>
    </fill>
    <fill>
      <patternFill patternType="solid">
        <fgColor theme="8" tint="0.799859614856410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206518753624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theme="8" tint="0.7998901333658864"/>
        <bgColor indexed="64"/>
      </patternFill>
    </fill>
    <fill>
      <patternFill patternType="solid">
        <fgColor rgb="00FFC000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5" fillId="2" borderId="5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/>
    </xf>
    <xf numFmtId="0" fontId="6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5" fillId="2" borderId="4" applyAlignment="1" pivotButton="0" quotePrefix="0" xfId="0">
      <alignment horizontal="left" vertical="center"/>
    </xf>
    <xf numFmtId="0" fontId="5" fillId="2" borderId="5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6" fillId="0" borderId="7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 wrapText="1"/>
    </xf>
    <xf numFmtId="0" fontId="6" fillId="0" borderId="8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10" fillId="3" borderId="8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2" fillId="0" borderId="18" applyAlignment="1" pivotButton="0" quotePrefix="0" xfId="0">
      <alignment vertical="center"/>
    </xf>
    <xf numFmtId="0" fontId="7" fillId="0" borderId="1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7" fillId="0" borderId="36" applyAlignment="1" pivotButton="0" quotePrefix="0" xfId="0">
      <alignment horizontal="center" vertical="center"/>
    </xf>
    <xf numFmtId="9" fontId="7" fillId="0" borderId="1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3" fillId="0" borderId="37" applyAlignment="1" pivotButton="0" quotePrefix="0" xfId="0">
      <alignment horizontal="center" vertical="center" wrapText="1"/>
    </xf>
    <xf numFmtId="0" fontId="13" fillId="0" borderId="37" applyAlignment="1" pivotButton="0" quotePrefix="0" xfId="0">
      <alignment vertical="center" wrapText="1"/>
    </xf>
    <xf numFmtId="0" fontId="13" fillId="0" borderId="9" applyAlignment="1" pivotButton="0" quotePrefix="0" xfId="0">
      <alignment horizontal="left" vertical="center"/>
    </xf>
    <xf numFmtId="0" fontId="13" fillId="0" borderId="9" applyAlignment="1" pivotButton="0" quotePrefix="0" xfId="0">
      <alignment horizontal="left" vertical="center" wrapText="1"/>
    </xf>
    <xf numFmtId="0" fontId="13" fillId="0" borderId="9" applyAlignment="1" applyProtection="1" pivotButton="0" quotePrefix="0" xfId="0">
      <alignment horizontal="left" vertical="center"/>
      <protection locked="0" hidden="0"/>
    </xf>
    <xf numFmtId="0" fontId="13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vertical="center"/>
    </xf>
    <xf numFmtId="0" fontId="15" fillId="0" borderId="9" applyAlignment="1" pivotButton="0" quotePrefix="0" xfId="0">
      <alignment horizontal="left" vertical="center" wrapText="1"/>
    </xf>
    <xf numFmtId="0" fontId="16" fillId="0" borderId="9" applyAlignment="1" applyProtection="1" pivotButton="0" quotePrefix="0" xfId="0">
      <alignment horizontal="left" vertical="center"/>
      <protection locked="0" hidden="0"/>
    </xf>
    <xf numFmtId="0" fontId="15" fillId="0" borderId="9" applyAlignment="1" pivotButton="0" quotePrefix="0" xfId="0">
      <alignment horizontal="center" vertical="center"/>
    </xf>
    <xf numFmtId="0" fontId="15" fillId="0" borderId="9" applyAlignment="1" pivotButton="0" quotePrefix="0" xfId="0">
      <alignment vertical="center"/>
    </xf>
    <xf numFmtId="0" fontId="15" fillId="0" borderId="9" applyAlignment="1" pivotButton="0" quotePrefix="0" xfId="0">
      <alignment horizontal="left" vertical="center"/>
    </xf>
    <xf numFmtId="0" fontId="16" fillId="0" borderId="9" applyAlignment="1" pivotButton="0" quotePrefix="0" xfId="0">
      <alignment horizontal="left" vertical="center"/>
    </xf>
    <xf numFmtId="0" fontId="17" fillId="6" borderId="43" applyAlignment="1" pivotButton="0" quotePrefix="0" xfId="0">
      <alignment horizontal="center" vertical="center"/>
    </xf>
    <xf numFmtId="0" fontId="17" fillId="6" borderId="9" applyAlignment="1" pivotButton="0" quotePrefix="0" xfId="0">
      <alignment horizontal="center" vertical="center"/>
    </xf>
    <xf numFmtId="0" fontId="15" fillId="14" borderId="9" applyAlignment="1" pivotButton="0" quotePrefix="0" xfId="0">
      <alignment horizontal="center" vertical="center"/>
    </xf>
    <xf numFmtId="0" fontId="15" fillId="15" borderId="9" applyAlignment="1" pivotButton="0" quotePrefix="0" xfId="0">
      <alignment horizontal="center" vertical="center"/>
    </xf>
    <xf numFmtId="0" fontId="15" fillId="16" borderId="37" applyAlignment="1" pivotButton="0" quotePrefix="0" xfId="0">
      <alignment horizontal="center" vertical="center"/>
    </xf>
    <xf numFmtId="0" fontId="15" fillId="17" borderId="37" applyAlignment="1" pivotButton="0" quotePrefix="0" xfId="0">
      <alignment horizontal="center" vertical="center"/>
    </xf>
    <xf numFmtId="0" fontId="15" fillId="17" borderId="9" applyAlignment="1" pivotButton="0" quotePrefix="0" xfId="0">
      <alignment horizontal="left" vertical="center" wrapText="1"/>
    </xf>
    <xf numFmtId="0" fontId="15" fillId="16" borderId="9" applyAlignment="1" pivotButton="0" quotePrefix="0" xfId="0">
      <alignment horizontal="center" vertical="center"/>
    </xf>
    <xf numFmtId="0" fontId="15" fillId="17" borderId="9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6" fillId="15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 wrapText="1"/>
    </xf>
    <xf numFmtId="0" fontId="16" fillId="17" borderId="9" applyAlignment="1" pivotButton="0" quotePrefix="0" xfId="0">
      <alignment horizontal="center" vertical="center"/>
    </xf>
    <xf numFmtId="0" fontId="15" fillId="17" borderId="24" applyAlignment="1" pivotButton="0" quotePrefix="0" xfId="0">
      <alignment horizontal="center" vertical="center"/>
    </xf>
    <xf numFmtId="164" fontId="19" fillId="0" borderId="9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center" vertical="center" wrapText="1"/>
    </xf>
    <xf numFmtId="0" fontId="19" fillId="0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/>
    </xf>
    <xf numFmtId="0" fontId="13" fillId="0" borderId="27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vertical="center" wrapText="1"/>
    </xf>
    <xf numFmtId="0" fontId="14" fillId="5" borderId="9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/>
    </xf>
    <xf numFmtId="0" fontId="14" fillId="5" borderId="9" applyAlignment="1" pivotButton="0" quotePrefix="0" xfId="0">
      <alignment horizontal="center" vertical="center" wrapText="1"/>
    </xf>
    <xf numFmtId="0" fontId="13" fillId="7" borderId="31" applyAlignment="1" pivotButton="0" quotePrefix="0" xfId="0">
      <alignment horizontal="center" vertical="center"/>
    </xf>
    <xf numFmtId="0" fontId="13" fillId="7" borderId="32" applyAlignment="1" pivotButton="0" quotePrefix="0" xfId="0">
      <alignment horizontal="center" vertical="center"/>
    </xf>
    <xf numFmtId="0" fontId="13" fillId="8" borderId="31" applyAlignment="1" pivotButton="0" quotePrefix="0" xfId="0">
      <alignment horizontal="center" vertical="center"/>
    </xf>
    <xf numFmtId="0" fontId="13" fillId="8" borderId="32" applyAlignment="1" pivotButton="0" quotePrefix="0" xfId="0">
      <alignment horizontal="center" vertical="center"/>
    </xf>
    <xf numFmtId="0" fontId="13" fillId="9" borderId="37" applyAlignment="1" pivotButton="0" quotePrefix="0" xfId="0">
      <alignment horizontal="center" vertical="center"/>
    </xf>
    <xf numFmtId="0" fontId="13" fillId="7" borderId="22" applyAlignment="1" pivotButton="0" quotePrefix="0" xfId="0">
      <alignment horizontal="center" vertical="center"/>
    </xf>
    <xf numFmtId="0" fontId="13" fillId="7" borderId="23" applyAlignment="1" pivotButton="0" quotePrefix="0" xfId="0">
      <alignment horizontal="center" vertical="center"/>
    </xf>
    <xf numFmtId="0" fontId="13" fillId="7" borderId="24" applyAlignment="1" pivotButton="0" quotePrefix="0" xfId="0">
      <alignment horizontal="center" vertical="center"/>
    </xf>
    <xf numFmtId="0" fontId="13" fillId="8" borderId="22" applyAlignment="1" pivotButton="0" quotePrefix="0" xfId="0">
      <alignment horizontal="center" vertical="center"/>
    </xf>
    <xf numFmtId="0" fontId="13" fillId="8" borderId="23" applyAlignment="1" pivotButton="0" quotePrefix="0" xfId="0">
      <alignment horizontal="center" vertical="center"/>
    </xf>
    <xf numFmtId="0" fontId="13" fillId="8" borderId="24" applyAlignment="1" pivotButton="0" quotePrefix="0" xfId="0">
      <alignment horizontal="center" vertical="center"/>
    </xf>
    <xf numFmtId="0" fontId="13" fillId="9" borderId="9" applyAlignment="1" pivotButton="0" quotePrefix="0" xfId="0">
      <alignment horizontal="center" vertical="center"/>
    </xf>
    <xf numFmtId="0" fontId="13" fillId="7" borderId="9" applyAlignment="1" pivotButton="0" quotePrefix="0" xfId="0">
      <alignment horizontal="center" vertical="center"/>
    </xf>
    <xf numFmtId="0" fontId="13" fillId="8" borderId="9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/>
    </xf>
    <xf numFmtId="0" fontId="13" fillId="10" borderId="23" applyAlignment="1" pivotButton="0" quotePrefix="0" xfId="0">
      <alignment horizontal="center" vertical="center"/>
    </xf>
    <xf numFmtId="0" fontId="13" fillId="10" borderId="24" applyAlignment="1" pivotButton="0" quotePrefix="0" xfId="0">
      <alignment horizontal="center" vertical="center"/>
    </xf>
    <xf numFmtId="0" fontId="13" fillId="11" borderId="22" applyAlignment="1" pivotButton="0" quotePrefix="0" xfId="0">
      <alignment horizontal="center" vertical="center"/>
    </xf>
    <xf numFmtId="0" fontId="13" fillId="11" borderId="23" applyAlignment="1" pivotButton="0" quotePrefix="0" xfId="0">
      <alignment horizontal="center" vertical="center"/>
    </xf>
    <xf numFmtId="0" fontId="13" fillId="11" borderId="24" applyAlignment="1" pivotButton="0" quotePrefix="0" xfId="0">
      <alignment horizontal="center" vertical="center"/>
    </xf>
    <xf numFmtId="0" fontId="13" fillId="12" borderId="9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0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2" applyAlignment="1" pivotButton="0" quotePrefix="0" xfId="0">
      <alignment horizontal="left" vertical="center"/>
    </xf>
    <xf numFmtId="0" fontId="15" fillId="0" borderId="23" applyAlignment="1" pivotButton="0" quotePrefix="0" xfId="0">
      <alignment horizontal="left" vertical="center"/>
    </xf>
    <xf numFmtId="0" fontId="15" fillId="0" borderId="24" applyAlignment="1" pivotButton="0" quotePrefix="0" xfId="0">
      <alignment horizontal="left" vertical="center"/>
    </xf>
    <xf numFmtId="0" fontId="13" fillId="10" borderId="25" applyAlignment="1" pivotButton="0" quotePrefix="0" xfId="0">
      <alignment horizontal="center" vertical="center"/>
    </xf>
    <xf numFmtId="0" fontId="13" fillId="10" borderId="26" applyAlignment="1" pivotButton="0" quotePrefix="0" xfId="0">
      <alignment horizontal="center" vertical="center"/>
    </xf>
    <xf numFmtId="0" fontId="13" fillId="10" borderId="27" applyAlignment="1" pivotButton="0" quotePrefix="0" xfId="0">
      <alignment horizontal="center" vertical="center"/>
    </xf>
    <xf numFmtId="0" fontId="13" fillId="13" borderId="22" applyAlignment="1" pivotButton="0" quotePrefix="0" xfId="0">
      <alignment horizontal="center" vertical="center"/>
    </xf>
    <xf numFmtId="0" fontId="13" fillId="13" borderId="24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17" fillId="6" borderId="43" applyAlignment="1" pivotButton="0" quotePrefix="0" xfId="0">
      <alignment horizontal="center" vertical="center"/>
    </xf>
    <xf numFmtId="0" fontId="17" fillId="6" borderId="9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16" fillId="0" borderId="23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 vertical="center"/>
    </xf>
    <xf numFmtId="0" fontId="15" fillId="0" borderId="9" applyAlignment="1" pivotButton="0" quotePrefix="0" xfId="0">
      <alignment horizontal="left" vertical="center"/>
    </xf>
    <xf numFmtId="0" fontId="15" fillId="15" borderId="9" applyAlignment="1" pivotButton="0" quotePrefix="0" xfId="0">
      <alignment horizontal="left" vertical="center"/>
    </xf>
    <xf numFmtId="0" fontId="15" fillId="16" borderId="9" applyAlignment="1" pivotButton="0" quotePrefix="0" xfId="0">
      <alignment horizontal="left" vertical="center"/>
    </xf>
    <xf numFmtId="0" fontId="16" fillId="0" borderId="22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left" vertical="center" wrapText="1"/>
    </xf>
    <xf numFmtId="0" fontId="15" fillId="15" borderId="9" applyAlignment="1" pivotButton="0" quotePrefix="0" xfId="0">
      <alignment horizontal="left" vertical="center" wrapText="1"/>
    </xf>
    <xf numFmtId="0" fontId="15" fillId="16" borderId="9" applyAlignment="1" pivotButton="0" quotePrefix="0" xfId="0">
      <alignment horizontal="left" vertical="center" wrapText="1"/>
    </xf>
    <xf numFmtId="0" fontId="15" fillId="0" borderId="22" applyAlignment="1" pivotButton="0" quotePrefix="0" xfId="0">
      <alignment horizontal="left" vertical="center" wrapText="1"/>
    </xf>
    <xf numFmtId="0" fontId="15" fillId="0" borderId="24" applyAlignment="1" pivotButton="0" quotePrefix="0" xfId="0">
      <alignment horizontal="left" vertical="center" wrapText="1"/>
    </xf>
    <xf numFmtId="0" fontId="15" fillId="15" borderId="22" applyAlignment="1" pivotButton="0" quotePrefix="0" xfId="0">
      <alignment horizontal="left" vertical="center" wrapText="1"/>
    </xf>
    <xf numFmtId="0" fontId="15" fillId="15" borderId="24" applyAlignment="1" pivotButton="0" quotePrefix="0" xfId="0">
      <alignment horizontal="left" vertical="center" wrapText="1"/>
    </xf>
    <xf numFmtId="0" fontId="15" fillId="16" borderId="22" applyAlignment="1" pivotButton="0" quotePrefix="0" xfId="0">
      <alignment horizontal="left" vertical="center" wrapText="1"/>
    </xf>
    <xf numFmtId="0" fontId="15" fillId="16" borderId="24" applyAlignment="1" pivotButton="0" quotePrefix="0" xfId="0">
      <alignment horizontal="left" vertical="center" wrapText="1"/>
    </xf>
    <xf numFmtId="0" fontId="15" fillId="15" borderId="22" applyAlignment="1" pivotButton="0" quotePrefix="0" xfId="0">
      <alignment horizontal="center" vertical="center" wrapText="1"/>
    </xf>
    <xf numFmtId="0" fontId="15" fillId="15" borderId="24" applyAlignment="1" pivotButton="0" quotePrefix="0" xfId="0">
      <alignment horizontal="center" vertical="center" wrapText="1"/>
    </xf>
    <xf numFmtId="0" fontId="15" fillId="16" borderId="22" applyAlignment="1" pivotButton="0" quotePrefix="0" xfId="0">
      <alignment horizontal="center" vertical="center" wrapText="1"/>
    </xf>
    <xf numFmtId="0" fontId="15" fillId="16" borderId="24" applyAlignment="1" pivotButton="0" quotePrefix="0" xfId="0">
      <alignment horizontal="center" vertical="center" wrapText="1"/>
    </xf>
    <xf numFmtId="0" fontId="16" fillId="4" borderId="9" applyAlignment="1" pivotButton="0" quotePrefix="0" xfId="0">
      <alignment horizontal="center" vertical="center"/>
    </xf>
    <xf numFmtId="0" fontId="20" fillId="5" borderId="9" applyAlignment="1" pivotButton="0" quotePrefix="0" xfId="0">
      <alignment horizontal="center" vertical="center"/>
    </xf>
    <xf numFmtId="0" fontId="20" fillId="5" borderId="37" applyAlignment="1" pivotButton="0" quotePrefix="0" xfId="0">
      <alignment horizontal="center" vertical="center"/>
    </xf>
    <xf numFmtId="0" fontId="20" fillId="6" borderId="9" applyAlignment="1" pivotButton="0" quotePrefix="0" xfId="0">
      <alignment horizontal="center" vertical="center"/>
    </xf>
    <xf numFmtId="0" fontId="16" fillId="0" borderId="22" applyAlignment="1" pivotButton="0" quotePrefix="0" xfId="0">
      <alignment horizontal="left" vertical="center" wrapText="1"/>
    </xf>
    <xf numFmtId="0" fontId="16" fillId="0" borderId="23" applyAlignment="1" pivotButton="0" quotePrefix="0" xfId="0">
      <alignment horizontal="left" vertical="center" wrapText="1"/>
    </xf>
    <xf numFmtId="0" fontId="16" fillId="0" borderId="24" applyAlignment="1" pivotButton="0" quotePrefix="0" xfId="0">
      <alignment horizontal="left" vertical="center" wrapText="1"/>
    </xf>
    <xf numFmtId="0" fontId="13" fillId="18" borderId="22" applyAlignment="1" pivotButton="0" quotePrefix="0" xfId="0">
      <alignment horizontal="center" vertical="center" wrapText="1"/>
    </xf>
    <xf numFmtId="0" fontId="13" fillId="18" borderId="23" applyAlignment="1" pivotButton="0" quotePrefix="0" xfId="0">
      <alignment horizontal="center" vertical="center" wrapText="1"/>
    </xf>
    <xf numFmtId="0" fontId="13" fillId="18" borderId="24" applyAlignment="1" pivotButton="0" quotePrefix="0" xfId="0">
      <alignment horizontal="center" vertical="center" wrapText="1"/>
    </xf>
    <xf numFmtId="0" fontId="13" fillId="19" borderId="22" applyAlignment="1" pivotButton="0" quotePrefix="0" xfId="0">
      <alignment horizontal="left" vertical="center" wrapText="1"/>
    </xf>
    <xf numFmtId="0" fontId="13" fillId="19" borderId="23" applyAlignment="1" pivotButton="0" quotePrefix="0" xfId="0">
      <alignment horizontal="left" vertical="center" wrapText="1"/>
    </xf>
    <xf numFmtId="0" fontId="13" fillId="19" borderId="24" applyAlignment="1" pivotButton="0" quotePrefix="0" xfId="0">
      <alignment horizontal="left" vertical="center" wrapText="1"/>
    </xf>
    <xf numFmtId="0" fontId="13" fillId="20" borderId="9" applyAlignment="1" pivotButton="0" quotePrefix="0" xfId="0">
      <alignment horizontal="center" vertical="center"/>
    </xf>
    <xf numFmtId="0" fontId="13" fillId="19" borderId="22" applyAlignment="1" pivotButton="0" quotePrefix="0" xfId="0">
      <alignment horizontal="center" vertical="center" wrapText="1"/>
    </xf>
    <xf numFmtId="0" fontId="13" fillId="19" borderId="23" applyAlignment="1" pivotButton="0" quotePrefix="0" xfId="0">
      <alignment horizontal="center" vertical="center" wrapText="1"/>
    </xf>
    <xf numFmtId="0" fontId="13" fillId="19" borderId="24" applyAlignment="1" pivotButton="0" quotePrefix="0" xfId="0">
      <alignment horizontal="center" vertical="center" wrapText="1"/>
    </xf>
    <xf numFmtId="0" fontId="13" fillId="20" borderId="22" applyAlignment="1" pivotButton="0" quotePrefix="0" xfId="0">
      <alignment horizontal="center" vertical="center"/>
    </xf>
    <xf numFmtId="0" fontId="13" fillId="2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left" vertical="center"/>
    </xf>
    <xf numFmtId="0" fontId="13" fillId="0" borderId="27" applyAlignment="1" pivotButton="0" quotePrefix="0" xfId="0">
      <alignment horizontal="left" vertical="center"/>
    </xf>
    <xf numFmtId="0" fontId="13" fillId="18" borderId="25" applyAlignment="1" pivotButton="0" quotePrefix="0" xfId="0">
      <alignment horizontal="center" vertical="center" wrapText="1"/>
    </xf>
    <xf numFmtId="0" fontId="13" fillId="18" borderId="26" applyAlignment="1" pivotButton="0" quotePrefix="0" xfId="0">
      <alignment horizontal="center" vertical="center" wrapText="1"/>
    </xf>
    <xf numFmtId="0" fontId="13" fillId="18" borderId="27" applyAlignment="1" pivotButton="0" quotePrefix="0" xfId="0">
      <alignment horizontal="center" vertical="center" wrapText="1"/>
    </xf>
    <xf numFmtId="0" fontId="13" fillId="19" borderId="25" applyAlignment="1" pivotButton="0" quotePrefix="0" xfId="0">
      <alignment horizontal="center" vertical="center" wrapText="1"/>
    </xf>
    <xf numFmtId="0" fontId="13" fillId="19" borderId="26" applyAlignment="1" pivotButton="0" quotePrefix="0" xfId="0">
      <alignment horizontal="center" vertical="center" wrapText="1"/>
    </xf>
    <xf numFmtId="0" fontId="13" fillId="19" borderId="27" applyAlignment="1" pivotButton="0" quotePrefix="0" xfId="0">
      <alignment horizontal="center" vertical="center" wrapText="1"/>
    </xf>
    <xf numFmtId="0" fontId="20" fillId="5" borderId="0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13" fillId="0" borderId="23" applyAlignment="1" pivotButton="0" quotePrefix="0" xfId="0">
      <alignment horizontal="left" vertical="center"/>
    </xf>
    <xf numFmtId="0" fontId="13" fillId="0" borderId="24" applyAlignment="1" pivotButton="0" quotePrefix="0" xfId="0">
      <alignment horizontal="left" vertical="center"/>
    </xf>
    <xf numFmtId="0" fontId="13" fillId="0" borderId="9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/>
    </xf>
    <xf numFmtId="0" fontId="18" fillId="0" borderId="9" applyAlignment="1" pivotButton="0" quotePrefix="0" xfId="0">
      <alignment horizontal="center" vertical="center"/>
    </xf>
    <xf numFmtId="0" fontId="13" fillId="0" borderId="9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/>
    </xf>
    <xf numFmtId="0" fontId="12" fillId="0" borderId="15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2" fillId="0" borderId="24" applyAlignment="1" pivotButton="0" quotePrefix="0" xfId="0">
      <alignment horizontal="center" vertical="center"/>
    </xf>
    <xf numFmtId="0" fontId="12" fillId="4" borderId="41" applyAlignment="1" pivotButton="0" quotePrefix="0" xfId="0">
      <alignment horizontal="center" vertical="center"/>
    </xf>
    <xf numFmtId="0" fontId="12" fillId="4" borderId="1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9" applyAlignment="1" pivotButton="0" quotePrefix="0" xfId="0">
      <alignment horizontal="center" vertical="center"/>
    </xf>
    <xf numFmtId="0" fontId="11" fillId="0" borderId="3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9" fontId="7" fillId="0" borderId="13" applyAlignment="1" pivotButton="0" quotePrefix="0" xfId="0">
      <alignment horizontal="center" vertical="center"/>
    </xf>
    <xf numFmtId="9" fontId="7" fillId="0" borderId="20" applyAlignment="1" pivotButton="0" quotePrefix="0" xfId="0">
      <alignment horizontal="center" vertical="center"/>
    </xf>
    <xf numFmtId="9" fontId="7" fillId="0" borderId="34" applyAlignment="1" pivotButton="0" quotePrefix="0" xfId="0">
      <alignment horizontal="center" vertical="center"/>
    </xf>
    <xf numFmtId="9" fontId="7" fillId="0" borderId="36" applyAlignment="1" pivotButton="0" quotePrefix="0" xfId="0">
      <alignment horizontal="center" vertical="center"/>
    </xf>
    <xf numFmtId="9" fontId="7" fillId="0" borderId="38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9" fontId="7" fillId="0" borderId="14" applyAlignment="1" pivotButton="0" quotePrefix="0" xfId="0">
      <alignment horizontal="center" vertical="center"/>
    </xf>
    <xf numFmtId="9" fontId="7" fillId="0" borderId="21" applyAlignment="1" pivotButton="0" quotePrefix="0" xfId="0">
      <alignment horizontal="center" vertical="center"/>
    </xf>
    <xf numFmtId="9" fontId="7" fillId="0" borderId="35" applyAlignment="1" pivotButton="0" quotePrefix="0" xfId="0">
      <alignment horizontal="center" vertical="center"/>
    </xf>
    <xf numFmtId="9" fontId="7" fillId="0" borderId="4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0" fillId="3" borderId="7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26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 vertical="center"/>
    </xf>
    <xf numFmtId="0" fontId="12" fillId="0" borderId="28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 vertical="center"/>
    </xf>
    <xf numFmtId="0" fontId="12" fillId="0" borderId="30" applyAlignment="1" pivotButton="0" quotePrefix="0" xfId="0">
      <alignment horizontal="center" vertical="center"/>
    </xf>
    <xf numFmtId="0" fontId="12" fillId="0" borderId="31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11" fillId="0" borderId="40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3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31" pivotButton="0" quotePrefix="0" xfId="0"/>
    <xf numFmtId="0" fontId="0" fillId="0" borderId="32" pivotButton="0" quotePrefix="0" xfId="0"/>
    <xf numFmtId="0" fontId="13" fillId="10" borderId="9" applyAlignment="1" pivotButton="0" quotePrefix="0" xfId="0">
      <alignment horizontal="center" vertical="center"/>
    </xf>
    <xf numFmtId="0" fontId="13" fillId="11" borderId="9" applyAlignment="1" pivotButton="0" quotePrefix="0" xfId="0">
      <alignment horizontal="center" vertical="center"/>
    </xf>
    <xf numFmtId="0" fontId="15" fillId="0" borderId="9" applyAlignment="1" pivotButton="0" quotePrefix="0" xfId="0">
      <alignment horizontal="left" vertical="top" wrapText="1"/>
    </xf>
    <xf numFmtId="0" fontId="0" fillId="0" borderId="49" pivotButton="0" quotePrefix="0" xfId="0"/>
    <xf numFmtId="0" fontId="13" fillId="21" borderId="50" applyAlignment="1" pivotButton="0" quotePrefix="0" xfId="0">
      <alignment horizontal="left" vertical="top" wrapText="1"/>
    </xf>
    <xf numFmtId="0" fontId="0" fillId="21" borderId="26" pivotButton="0" quotePrefix="0" xfId="0"/>
    <xf numFmtId="0" fontId="0" fillId="21" borderId="27" pivotButton="0" quotePrefix="0" xfId="0"/>
    <xf numFmtId="0" fontId="13" fillId="21" borderId="9" applyAlignment="1" pivotButton="0" quotePrefix="0" xfId="0">
      <alignment horizontal="left" vertical="top" wrapText="1"/>
    </xf>
    <xf numFmtId="0" fontId="0" fillId="21" borderId="23" pivotButton="0" quotePrefix="0" xfId="0"/>
    <xf numFmtId="0" fontId="0" fillId="21" borderId="24" pivotButton="0" quotePrefix="0" xfId="0"/>
    <xf numFmtId="0" fontId="13" fillId="13" borderId="9" applyAlignment="1" pivotButton="0" quotePrefix="0" xfId="0">
      <alignment horizontal="center" vertical="center"/>
    </xf>
    <xf numFmtId="0" fontId="13" fillId="10" borderId="43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16" fillId="0" borderId="9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37" pivotButton="0" quotePrefix="0" xfId="0"/>
    <xf numFmtId="0" fontId="15" fillId="15" borderId="9" applyAlignment="1" pivotButton="0" quotePrefix="0" xfId="0">
      <alignment horizontal="center" vertical="center" wrapText="1"/>
    </xf>
    <xf numFmtId="0" fontId="15" fillId="16" borderId="9" applyAlignment="1" pivotButton="0" quotePrefix="0" xfId="0">
      <alignment horizontal="center" vertical="center" wrapText="1"/>
    </xf>
    <xf numFmtId="164" fontId="19" fillId="0" borderId="9" applyAlignment="1" pivotButton="0" quotePrefix="0" xfId="0">
      <alignment horizontal="center" vertical="center" wrapText="1"/>
    </xf>
    <xf numFmtId="0" fontId="16" fillId="0" borderId="9" applyAlignment="1" pivotButton="0" quotePrefix="0" xfId="0">
      <alignment horizontal="left" vertical="center" wrapText="1"/>
    </xf>
    <xf numFmtId="0" fontId="13" fillId="18" borderId="9" applyAlignment="1" pivotButton="0" quotePrefix="0" xfId="0">
      <alignment horizontal="center" vertical="center" wrapText="1"/>
    </xf>
    <xf numFmtId="0" fontId="13" fillId="19" borderId="9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29" pivotButton="0" quotePrefix="0" xfId="0"/>
    <xf numFmtId="0" fontId="13" fillId="19" borderId="9" applyAlignment="1" pivotButton="0" quotePrefix="0" xfId="0">
      <alignment horizontal="center" vertical="center" wrapText="1"/>
    </xf>
    <xf numFmtId="0" fontId="0" fillId="0" borderId="30" pivotButton="0" quotePrefix="0" xfId="0"/>
    <xf numFmtId="0" fontId="13" fillId="0" borderId="43" applyAlignment="1" pivotButton="0" quotePrefix="0" xfId="0">
      <alignment horizontal="left" vertical="center"/>
    </xf>
    <xf numFmtId="0" fontId="13" fillId="18" borderId="43" applyAlignment="1" pivotButton="0" quotePrefix="0" xfId="0">
      <alignment horizontal="center" vertical="center" wrapText="1"/>
    </xf>
    <xf numFmtId="0" fontId="13" fillId="19" borderId="43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6" pivotButton="0" quotePrefix="0" xfId="0"/>
    <xf numFmtId="0" fontId="0" fillId="0" borderId="42" pivotButton="0" quotePrefix="0" xfId="0"/>
    <xf numFmtId="0" fontId="0" fillId="0" borderId="10" pivotButton="0" quotePrefix="0" xfId="0"/>
    <xf numFmtId="0" fontId="0" fillId="0" borderId="8" pivotButton="0" quotePrefix="0" xfId="0"/>
    <xf numFmtId="0" fontId="0" fillId="0" borderId="7" pivotButton="0" quotePrefix="0" xfId="0"/>
    <xf numFmtId="9" fontId="7" fillId="0" borderId="46" applyAlignment="1" pivotButton="0" quotePrefix="0" xfId="0">
      <alignment horizontal="center" vertical="center"/>
    </xf>
    <xf numFmtId="9" fontId="7" fillId="0" borderId="47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21" pivotButton="0" quotePrefix="0" xfId="0"/>
    <xf numFmtId="0" fontId="12" fillId="0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5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40" pivotButton="0" quotePrefix="0" xfId="0"/>
    <xf numFmtId="0" fontId="0" fillId="0" borderId="36" pivotButton="0" quotePrefix="0" xfId="0"/>
    <xf numFmtId="0" fontId="0" fillId="0" borderId="11" pivotButton="0" quotePrefix="0" xfId="0"/>
    <xf numFmtId="0" fontId="0" fillId="0" borderId="41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tabSelected="1" topLeftCell="A22" zoomScale="87" zoomScaleNormal="87" workbookViewId="0">
      <selection activeCell="E31" sqref="E31:F31"/>
    </sheetView>
  </sheetViews>
  <sheetFormatPr baseColWidth="8" defaultColWidth="9" defaultRowHeight="24" customHeight="1"/>
  <cols>
    <col width="18.6640625" customWidth="1" style="48" min="1" max="1"/>
    <col width="17.33203125" customWidth="1" style="48" min="2" max="2"/>
    <col width="19.109375" customWidth="1" style="48" min="3" max="3"/>
    <col width="22.88671875" customWidth="1" style="48" min="4" max="4"/>
    <col width="18" customWidth="1" style="48" min="5" max="5"/>
    <col width="22.88671875" customWidth="1" style="48" min="6" max="6"/>
    <col width="13.88671875" customWidth="1" style="48" min="7" max="7"/>
    <col width="16.6640625" customWidth="1" style="48" min="8" max="8"/>
    <col width="12.33203125" customWidth="1" style="48" min="9" max="9"/>
    <col width="15.109375" customWidth="1" style="48" min="10" max="10"/>
    <col width="14.44140625" customWidth="1" style="48" min="11" max="11"/>
    <col width="16.109375" customWidth="1" style="48" min="12" max="12"/>
    <col width="15" customWidth="1" style="48" min="13" max="13"/>
    <col width="23.109375" customWidth="1" style="48" min="14" max="14"/>
    <col width="9" customWidth="1" style="48" min="15" max="16370"/>
  </cols>
  <sheetData>
    <row r="1" ht="24" customHeight="1">
      <c r="A1" s="90" t="inlineStr">
        <is>
          <t>基本信息</t>
        </is>
      </c>
      <c r="B1" s="244" t="n"/>
      <c r="C1" s="244" t="n"/>
      <c r="D1" s="244" t="n"/>
      <c r="E1" s="244" t="n"/>
      <c r="F1" s="244" t="n"/>
      <c r="G1" s="244" t="n"/>
      <c r="H1" s="244" t="n"/>
      <c r="I1" s="244" t="n"/>
      <c r="J1" s="244" t="n"/>
      <c r="K1" s="244" t="n"/>
      <c r="L1" s="244" t="n"/>
      <c r="M1" s="244" t="n"/>
      <c r="N1" s="245" t="n"/>
    </row>
    <row r="2" ht="24" customHeight="1">
      <c r="A2" s="91" t="inlineStr">
        <is>
          <t>初试</t>
        </is>
      </c>
      <c r="B2" s="244" t="n"/>
      <c r="C2" s="244" t="n"/>
      <c r="D2" s="244" t="n"/>
      <c r="E2" s="244" t="n"/>
      <c r="F2" s="245" t="n"/>
      <c r="G2" s="92" t="inlineStr">
        <is>
          <t>线下协同初试</t>
        </is>
      </c>
      <c r="H2" s="244" t="n"/>
      <c r="I2" s="245" t="n"/>
      <c r="J2" s="92" t="inlineStr">
        <is>
          <t>复试</t>
        </is>
      </c>
      <c r="K2" s="244" t="n"/>
      <c r="L2" s="245" t="n"/>
      <c r="M2" s="90" t="inlineStr">
        <is>
          <t>终试</t>
        </is>
      </c>
      <c r="N2" s="245" t="n"/>
    </row>
    <row r="3" ht="28.95" customHeight="1">
      <c r="A3" s="49" t="inlineStr">
        <is>
          <t>候选人姓名</t>
        </is>
      </c>
      <c r="B3" s="50" t="inlineStr">
        <is>
          <t>迟佳康</t>
        </is>
      </c>
      <c r="C3" s="49" t="inlineStr">
        <is>
          <t>籍贯</t>
        </is>
      </c>
      <c r="D3" s="182" t="inlineStr">
        <is>
          <t>山东烟台龙口</t>
        </is>
      </c>
      <c r="E3" s="52" t="inlineStr">
        <is>
          <t>汉</t>
        </is>
      </c>
      <c r="F3" s="53" t="inlineStr">
        <is>
          <t>1997年5月</t>
        </is>
      </c>
      <c r="G3" s="94" t="inlineStr">
        <is>
          <t>面试官</t>
        </is>
      </c>
      <c r="H3" s="246" t="n"/>
      <c r="I3" s="247" t="n"/>
      <c r="J3" s="96" t="inlineStr">
        <is>
          <t>复试官</t>
        </is>
      </c>
      <c r="K3" s="246" t="n"/>
      <c r="L3" s="247" t="n"/>
      <c r="M3" s="97" t="inlineStr">
        <is>
          <t>终试官</t>
        </is>
      </c>
      <c r="N3" s="247" t="n"/>
    </row>
    <row r="4" ht="22.95" customHeight="1">
      <c r="A4" s="183" t="inlineStr">
        <is>
          <t>应聘岗位</t>
        </is>
      </c>
      <c r="B4" s="55" t="inlineStr">
        <is>
          <t>销售工程师</t>
        </is>
      </c>
      <c r="C4" s="183" t="inlineStr">
        <is>
          <t>烟台/威海</t>
        </is>
      </c>
      <c r="D4" s="182" t="inlineStr">
        <is>
          <t>华为</t>
        </is>
      </c>
      <c r="E4" s="136" t="inlineStr">
        <is>
          <t>原公司类型</t>
        </is>
      </c>
      <c r="F4" s="57" t="inlineStr">
        <is>
          <t>打不过的竞争对手</t>
        </is>
      </c>
      <c r="G4" s="105" t="n"/>
      <c r="H4" s="244" t="n"/>
      <c r="I4" s="245" t="n"/>
      <c r="J4" s="106" t="n"/>
      <c r="K4" s="244" t="n"/>
      <c r="L4" s="245" t="n"/>
      <c r="M4" s="104" t="n"/>
      <c r="N4" s="245" t="n"/>
    </row>
    <row r="5" ht="19.95" customHeight="1">
      <c r="A5" s="183" t="inlineStr">
        <is>
          <t>第一学历学校</t>
        </is>
      </c>
      <c r="B5" s="55" t="inlineStr">
        <is>
          <t>山东建筑大学</t>
        </is>
      </c>
      <c r="C5" s="183" t="inlineStr">
        <is>
          <t>专业</t>
        </is>
      </c>
      <c r="D5" s="182" t="inlineStr">
        <is>
          <t>网络工程</t>
        </is>
      </c>
      <c r="E5" s="52" t="inlineStr">
        <is>
          <t>月底薪/绩效/奖金</t>
        </is>
      </c>
      <c r="F5" s="53" t="n"/>
      <c r="G5" s="105" t="inlineStr">
        <is>
          <t>面试方式</t>
        </is>
      </c>
      <c r="H5" s="244" t="n"/>
      <c r="I5" s="245" t="n"/>
      <c r="J5" s="106" t="inlineStr">
        <is>
          <t>面试方式</t>
        </is>
      </c>
      <c r="K5" s="244" t="n"/>
      <c r="L5" s="245" t="n"/>
      <c r="M5" s="104" t="inlineStr">
        <is>
          <t>面试方式</t>
        </is>
      </c>
      <c r="N5" s="245" t="n"/>
    </row>
    <row r="6" ht="22.95" customHeight="1">
      <c r="A6" s="58" t="inlineStr">
        <is>
          <t>单元九档学历占比</t>
        </is>
      </c>
      <c r="B6" s="59" t="n"/>
      <c r="C6" s="58" t="inlineStr">
        <is>
          <t>直接上级</t>
        </is>
      </c>
      <c r="D6" s="131" t="n"/>
      <c r="E6" s="61" t="inlineStr">
        <is>
          <t>人才类型（必选）</t>
        </is>
      </c>
      <c r="F6" s="57" t="inlineStr">
        <is>
          <t>X2</t>
        </is>
      </c>
      <c r="G6" s="248" t="n"/>
      <c r="H6" s="244" t="n"/>
      <c r="I6" s="245" t="n"/>
      <c r="J6" s="249" t="n"/>
      <c r="K6" s="244" t="n"/>
      <c r="L6" s="245" t="n"/>
      <c r="M6" s="113" t="n"/>
      <c r="N6" s="245" t="n"/>
    </row>
    <row r="7" ht="22.95" customHeight="1">
      <c r="A7" s="58" t="inlineStr">
        <is>
          <t>离职原因</t>
        </is>
      </c>
      <c r="B7" s="58" t="n"/>
      <c r="C7" s="244" t="n"/>
      <c r="D7" s="245" t="n"/>
      <c r="E7" s="131" t="inlineStr">
        <is>
          <t>HR/人才来源</t>
        </is>
      </c>
      <c r="F7" s="53" t="n"/>
      <c r="G7" s="105" t="n"/>
      <c r="H7" s="244" t="n"/>
      <c r="I7" s="245" t="n"/>
      <c r="J7" s="106" t="n"/>
      <c r="K7" s="244" t="n"/>
      <c r="L7" s="245" t="n"/>
      <c r="M7" s="104" t="n"/>
      <c r="N7" s="245" t="n"/>
    </row>
    <row r="8" ht="24" customHeight="1">
      <c r="A8" s="90" t="inlineStr">
        <is>
          <t>简历识别</t>
        </is>
      </c>
      <c r="B8" s="244" t="n"/>
      <c r="C8" s="244" t="n"/>
      <c r="D8" s="244" t="n"/>
      <c r="E8" s="244" t="n"/>
      <c r="F8" s="244" t="n"/>
      <c r="G8" s="244" t="n"/>
      <c r="H8" s="244" t="n"/>
      <c r="I8" s="244" t="n"/>
      <c r="J8" s="244" t="n"/>
      <c r="K8" s="244" t="n"/>
      <c r="L8" s="244" t="n"/>
      <c r="M8" s="244" t="n"/>
      <c r="N8" s="245" t="n"/>
    </row>
    <row r="9" ht="24" customHeight="1">
      <c r="A9" s="91" t="inlineStr">
        <is>
          <t>亮点、疑点和风险点（黑白灰清单项）</t>
        </is>
      </c>
      <c r="B9" s="244" t="n"/>
      <c r="C9" s="244" t="n"/>
      <c r="D9" s="244" t="n"/>
      <c r="E9" s="244" t="n"/>
      <c r="F9" s="245" t="n"/>
      <c r="G9" s="90" t="inlineStr">
        <is>
          <t>亮点、疑点和风险点（黑白灰清单项）</t>
        </is>
      </c>
      <c r="H9" s="244" t="n"/>
      <c r="I9" s="245" t="n"/>
      <c r="J9" s="90" t="inlineStr">
        <is>
          <t>亮点、疑点和风险点（黑白灰清单项）</t>
        </is>
      </c>
      <c r="K9" s="244" t="n"/>
      <c r="L9" s="245" t="n"/>
      <c r="M9" s="90" t="inlineStr">
        <is>
          <t>终试</t>
        </is>
      </c>
      <c r="N9" s="245" t="n"/>
    </row>
    <row r="10" ht="36" customHeight="1">
      <c r="A10" s="250" t="inlineStr">
        <is>
          <t>亮点：华为+大华双背景，烟台医疗行业从0到1突破，2026年业绩900万+，600万标杆案例</t>
        </is>
      </c>
      <c r="B10" s="244" t="n"/>
      <c r="C10" s="244" t="n"/>
      <c r="D10" s="244" t="n"/>
      <c r="E10" s="244" t="n"/>
      <c r="F10" s="251" t="n"/>
      <c r="G10" s="252" t="inlineStr">
        <is>
          <t>疑点：四六级未标注；AI能力未提及</t>
        </is>
      </c>
      <c r="H10" s="253" t="n"/>
      <c r="I10" s="254" t="n"/>
      <c r="J10" s="255" t="inlineStr">
        <is>
          <t>风险点：工作变动较频繁（4年3段）；需确认OD身份</t>
        </is>
      </c>
      <c r="K10" s="256" t="n"/>
      <c r="L10" s="257" t="n"/>
      <c r="M10" s="258" t="n"/>
      <c r="N10" s="245" t="n"/>
    </row>
    <row r="11" ht="22.95" customHeight="1">
      <c r="A11" s="131" t="n"/>
      <c r="B11" s="244" t="n"/>
      <c r="C11" s="244" t="n"/>
      <c r="D11" s="244" t="n"/>
      <c r="E11" s="244" t="n"/>
      <c r="F11" s="245" t="n"/>
      <c r="G11" s="259" t="n"/>
      <c r="H11" s="260" t="n"/>
      <c r="I11" s="261" t="n"/>
      <c r="J11" s="249" t="n"/>
      <c r="K11" s="244" t="n"/>
      <c r="L11" s="245" t="n"/>
      <c r="M11" s="258" t="n"/>
      <c r="N11" s="245" t="n"/>
    </row>
    <row r="12" ht="22.95" customHeight="1">
      <c r="A12" s="131" t="n"/>
      <c r="B12" s="244" t="n"/>
      <c r="C12" s="244" t="n"/>
      <c r="D12" s="244" t="n"/>
      <c r="E12" s="244" t="n"/>
      <c r="F12" s="245" t="n"/>
      <c r="G12" s="259" t="n"/>
      <c r="H12" s="260" t="n"/>
      <c r="I12" s="261" t="n"/>
      <c r="J12" s="249" t="n"/>
      <c r="K12" s="244" t="n"/>
      <c r="L12" s="245" t="n"/>
      <c r="M12" s="258" t="n"/>
      <c r="N12" s="245" t="n"/>
    </row>
    <row r="13" ht="24" customHeight="1">
      <c r="A13" s="90" t="inlineStr">
        <is>
          <t>面试识别</t>
        </is>
      </c>
      <c r="B13" s="244" t="n"/>
      <c r="C13" s="244" t="n"/>
      <c r="D13" s="244" t="n"/>
      <c r="E13" s="244" t="n"/>
      <c r="F13" s="244" t="n"/>
      <c r="G13" s="244" t="n"/>
      <c r="H13" s="244" t="n"/>
      <c r="I13" s="244" t="n"/>
      <c r="J13" s="244" t="n"/>
      <c r="K13" s="244" t="n"/>
      <c r="L13" s="244" t="n"/>
      <c r="M13" s="244" t="n"/>
      <c r="N13" s="245" t="n"/>
    </row>
    <row r="14" ht="24" customHeight="1">
      <c r="A14" s="91" t="inlineStr">
        <is>
          <t>初试</t>
        </is>
      </c>
      <c r="B14" s="244" t="n"/>
      <c r="C14" s="244" t="n"/>
      <c r="D14" s="244" t="n"/>
      <c r="E14" s="244" t="n"/>
      <c r="F14" s="245" t="n"/>
      <c r="G14" s="125" t="inlineStr">
        <is>
          <t>线下协同初试</t>
        </is>
      </c>
      <c r="H14" s="244" t="n"/>
      <c r="I14" s="245" t="n"/>
      <c r="J14" s="125" t="inlineStr">
        <is>
          <t>复试</t>
        </is>
      </c>
      <c r="K14" s="244" t="n"/>
      <c r="L14" s="245" t="n"/>
      <c r="M14" s="91" t="inlineStr">
        <is>
          <t>终试</t>
        </is>
      </c>
      <c r="N14" s="245" t="n"/>
    </row>
    <row r="15" ht="24" customHeight="1">
      <c r="A15" s="126" t="inlineStr">
        <is>
          <t>考核维度</t>
        </is>
      </c>
      <c r="B15" s="261" t="n"/>
      <c r="C15" s="126" t="n"/>
      <c r="D15" s="126" t="inlineStr">
        <is>
          <t>面试评分(100分制)</t>
        </is>
      </c>
      <c r="E15" s="126" t="inlineStr">
        <is>
          <t>评分依据</t>
        </is>
      </c>
      <c r="F15" s="261" t="n"/>
      <c r="G15" s="127" t="inlineStr">
        <is>
          <t>面试评分</t>
        </is>
      </c>
      <c r="H15" s="127" t="inlineStr">
        <is>
          <t>评分依据</t>
        </is>
      </c>
      <c r="I15" s="245" t="n"/>
      <c r="J15" s="127" t="inlineStr">
        <is>
          <t>面试评分</t>
        </is>
      </c>
      <c r="K15" s="127" t="inlineStr">
        <is>
          <t>评分依据</t>
        </is>
      </c>
      <c r="L15" s="245" t="n"/>
      <c r="M15" s="127" t="inlineStr">
        <is>
          <t>面试评分</t>
        </is>
      </c>
      <c r="N15" s="127" t="inlineStr">
        <is>
          <t>评分依据</t>
        </is>
      </c>
    </row>
    <row r="16" ht="24" customHeight="1">
      <c r="A16" s="262" t="inlineStr">
        <is>
          <t>AI能力</t>
        </is>
      </c>
      <c r="B16" s="244" t="n"/>
      <c r="C16" s="245" t="n"/>
      <c r="D16" s="64" t="n">
        <v>60</v>
      </c>
      <c r="E16" s="131" t="inlineStr">
        <is>
          <t>未提及AI工具使用</t>
        </is>
      </c>
      <c r="F16" s="245" t="n"/>
      <c r="G16" s="65" t="n"/>
      <c r="H16" s="132" t="n"/>
      <c r="I16" s="245" t="n"/>
      <c r="J16" s="66" t="n"/>
      <c r="K16" s="133" t="n"/>
      <c r="L16" s="245" t="n"/>
      <c r="M16" s="67" t="n"/>
      <c r="N16" s="68" t="n"/>
    </row>
    <row r="17" ht="28.95" customHeight="1">
      <c r="A17" s="183" t="inlineStr">
        <is>
          <t>底色</t>
        </is>
      </c>
      <c r="B17" s="74" t="inlineStr">
        <is>
          <t>兴趣</t>
        </is>
      </c>
      <c r="C17" s="245" t="n"/>
      <c r="D17" s="64" t="n">
        <v>85</v>
      </c>
      <c r="E17" s="136" t="inlineStr">
        <is>
          <t>表述一致，数据详实</t>
        </is>
      </c>
      <c r="F17" s="245" t="n"/>
      <c r="G17" s="65" t="n"/>
      <c r="H17" s="137" t="n"/>
      <c r="I17" s="245" t="n"/>
      <c r="J17" s="69" t="n"/>
      <c r="K17" s="138" t="n"/>
      <c r="L17" s="245" t="n"/>
      <c r="M17" s="70" t="n"/>
      <c r="N17" s="68" t="n"/>
    </row>
    <row r="18" ht="30" customHeight="1">
      <c r="A18" s="263" t="n"/>
      <c r="B18" s="184" t="inlineStr">
        <is>
          <t>狼性</t>
        </is>
      </c>
      <c r="C18" s="72" t="inlineStr">
        <is>
          <t>主动侵略性</t>
        </is>
      </c>
      <c r="D18" s="64" t="n">
        <v>85</v>
      </c>
      <c r="E18" s="136" t="inlineStr">
        <is>
          <t>26年目标完成率90%</t>
        </is>
      </c>
      <c r="F18" s="245" t="n"/>
      <c r="G18" s="65" t="n"/>
      <c r="H18" s="137" t="n"/>
      <c r="I18" s="245" t="n"/>
      <c r="J18" s="69" t="n"/>
      <c r="K18" s="138" t="n"/>
      <c r="L18" s="245" t="n"/>
      <c r="M18" s="70" t="n"/>
      <c r="N18" s="68" t="n"/>
    </row>
    <row r="19" ht="30" customHeight="1">
      <c r="A19" s="263" t="n"/>
      <c r="B19" s="263" t="n"/>
      <c r="C19" s="72" t="inlineStr">
        <is>
          <t>目标刚性</t>
        </is>
      </c>
      <c r="D19" s="64" t="n">
        <v>85</v>
      </c>
      <c r="E19" s="136" t="inlineStr">
        <is>
          <t>华为OD身份受限仍完成900万+</t>
        </is>
      </c>
      <c r="F19" s="245" t="n"/>
      <c r="G19" s="65" t="n"/>
      <c r="H19" s="137" t="n"/>
      <c r="I19" s="245" t="n"/>
      <c r="J19" s="69" t="n"/>
      <c r="K19" s="138" t="n"/>
      <c r="L19" s="245" t="n"/>
      <c r="M19" s="70" t="n"/>
      <c r="N19" s="68" t="n"/>
    </row>
    <row r="20" ht="30" customHeight="1">
      <c r="A20" s="263" t="n"/>
      <c r="B20" s="264" t="n"/>
      <c r="C20" s="72" t="inlineStr">
        <is>
          <t>结果闭环</t>
        </is>
      </c>
      <c r="D20" s="64" t="n">
        <v>85</v>
      </c>
      <c r="E20" s="136" t="inlineStr">
        <is>
          <t>26年上半年900万+业绩</t>
        </is>
      </c>
      <c r="F20" s="245" t="n"/>
      <c r="G20" s="65" t="n"/>
      <c r="H20" s="137" t="n"/>
      <c r="I20" s="245" t="n"/>
      <c r="J20" s="69" t="n"/>
      <c r="K20" s="138" t="n"/>
      <c r="L20" s="245" t="n"/>
      <c r="M20" s="70" t="n"/>
      <c r="N20" s="68" t="n"/>
    </row>
    <row r="21" ht="30" customHeight="1">
      <c r="A21" s="263" t="n"/>
      <c r="B21" s="184" t="inlineStr">
        <is>
          <t>情商</t>
        </is>
      </c>
      <c r="C21" s="72" t="inlineStr">
        <is>
          <t>信任构建能力</t>
        </is>
      </c>
      <c r="D21" s="64" t="n">
        <v>85</v>
      </c>
      <c r="E21" s="136" t="inlineStr">
        <is>
          <t>与区县医院建立深度信任</t>
        </is>
      </c>
      <c r="F21" s="245" t="n"/>
      <c r="G21" s="65" t="n"/>
      <c r="H21" s="137" t="n"/>
      <c r="I21" s="245" t="n"/>
      <c r="J21" s="69" t="n"/>
      <c r="K21" s="138" t="n"/>
      <c r="L21" s="245" t="n"/>
      <c r="M21" s="70" t="n"/>
      <c r="N21" s="68" t="n"/>
    </row>
    <row r="22" ht="30" customHeight="1">
      <c r="A22" s="263" t="n"/>
      <c r="B22" s="263" t="n"/>
      <c r="C22" s="72" t="inlineStr">
        <is>
          <t>人性洞察能力</t>
        </is>
      </c>
      <c r="D22" s="64" t="n">
        <v>80</v>
      </c>
      <c r="E22" s="136" t="inlineStr">
        <is>
          <t>能协调多方伙伴</t>
        </is>
      </c>
      <c r="F22" s="245" t="n"/>
      <c r="G22" s="65" t="n"/>
      <c r="H22" s="137" t="n"/>
      <c r="I22" s="245" t="n"/>
      <c r="J22" s="69" t="n"/>
      <c r="K22" s="138" t="n"/>
      <c r="L22" s="245" t="n"/>
      <c r="M22" s="70" t="n"/>
      <c r="N22" s="68" t="n"/>
    </row>
    <row r="23" ht="30" customHeight="1">
      <c r="A23" s="264" t="n"/>
      <c r="B23" s="264" t="n"/>
      <c r="C23" s="72" t="inlineStr">
        <is>
          <t>长期价值绑定</t>
        </is>
      </c>
      <c r="D23" s="64" t="n">
        <v>80</v>
      </c>
      <c r="E23" s="136" t="inlineStr">
        <is>
          <t>主动了解行业趋势</t>
        </is>
      </c>
      <c r="F23" s="245" t="n"/>
      <c r="G23" s="65" t="n"/>
      <c r="H23" s="137" t="n"/>
      <c r="I23" s="245" t="n"/>
      <c r="J23" s="69" t="n"/>
      <c r="K23" s="138" t="n"/>
      <c r="L23" s="245" t="n"/>
      <c r="M23" s="70" t="n"/>
      <c r="N23" s="68" t="n"/>
    </row>
    <row r="24" ht="30" customHeight="1">
      <c r="A24" s="183" t="inlineStr">
        <is>
          <t>岗位三板斧</t>
        </is>
      </c>
      <c r="B24" s="184" t="inlineStr">
        <is>
          <t>搞成铁杆</t>
        </is>
      </c>
      <c r="C24" s="72" t="inlineStr">
        <is>
          <t>搞成铁杆能力</t>
        </is>
      </c>
      <c r="D24" s="64" t="inlineStr">
        <is>
          <t>A</t>
        </is>
      </c>
      <c r="E24" s="136" t="inlineStr">
        <is>
          <t>符合X2岗位要求</t>
        </is>
      </c>
      <c r="F24" s="245" t="n"/>
      <c r="G24" s="65" t="n"/>
      <c r="H24" s="137" t="n"/>
      <c r="I24" s="245" t="n"/>
      <c r="J24" s="69" t="n"/>
      <c r="K24" s="138" t="n"/>
      <c r="L24" s="245" t="n"/>
      <c r="M24" s="70" t="n"/>
      <c r="N24" s="68" t="n"/>
    </row>
    <row r="25" ht="30" customHeight="1">
      <c r="A25" s="263" t="n"/>
      <c r="B25" s="263" t="n"/>
      <c r="C25" s="72" t="inlineStr">
        <is>
          <t>铁杆数量</t>
        </is>
      </c>
      <c r="D25" s="64" t="n">
        <v>85</v>
      </c>
      <c r="E25" s="136" t="n"/>
      <c r="F25" s="245" t="n"/>
      <c r="G25" s="65" t="n"/>
      <c r="H25" s="137" t="n"/>
      <c r="I25" s="245" t="n"/>
      <c r="J25" s="69" t="n"/>
      <c r="K25" s="138" t="n"/>
      <c r="L25" s="245" t="n"/>
      <c r="M25" s="70" t="n"/>
      <c r="N25" s="68" t="n"/>
    </row>
    <row r="26" ht="30" customHeight="1">
      <c r="A26" s="263" t="n"/>
      <c r="B26" s="264" t="n"/>
      <c r="C26" s="72" t="inlineStr">
        <is>
          <t>铁杆质量</t>
        </is>
      </c>
      <c r="D26" s="64" t="n">
        <v>80</v>
      </c>
      <c r="E26" s="136" t="inlineStr">
        <is>
          <t>烟台医疗、企业客户资源</t>
        </is>
      </c>
      <c r="F26" s="245" t="n"/>
      <c r="G26" s="65" t="n"/>
      <c r="H26" s="137" t="n"/>
      <c r="I26" s="245" t="n"/>
      <c r="J26" s="69" t="n"/>
      <c r="K26" s="138" t="n"/>
      <c r="L26" s="245" t="n"/>
      <c r="M26" s="70" t="n"/>
      <c r="N26" s="68" t="n"/>
    </row>
    <row r="27" ht="30" customHeight="1">
      <c r="A27" s="263" t="n"/>
      <c r="B27" s="184" t="inlineStr">
        <is>
          <t>情报收集</t>
        </is>
      </c>
      <c r="C27" s="72" t="inlineStr">
        <is>
          <t>信息来源</t>
        </is>
      </c>
      <c r="D27" s="64" t="n">
        <v>72</v>
      </c>
      <c r="E27" s="136" t="inlineStr">
        <is>
          <t>通过客户、伙伴获取信息</t>
        </is>
      </c>
      <c r="F27" s="245" t="n"/>
      <c r="G27" s="65" t="n"/>
      <c r="H27" s="137" t="n"/>
      <c r="I27" s="245" t="n"/>
      <c r="J27" s="69" t="n"/>
      <c r="K27" s="138" t="n"/>
      <c r="L27" s="245" t="n"/>
      <c r="M27" s="70" t="n"/>
      <c r="N27" s="68" t="n"/>
    </row>
    <row r="28" ht="30" customHeight="1">
      <c r="A28" s="263" t="n"/>
      <c r="B28" s="263" t="n"/>
      <c r="C28" s="72" t="inlineStr">
        <is>
          <t>信息收集和整理能力</t>
        </is>
      </c>
      <c r="D28" s="64" t="n">
        <v>80</v>
      </c>
      <c r="E28" s="136" t="inlineStr">
        <is>
          <t>能识别客户需求</t>
        </is>
      </c>
      <c r="F28" s="245" t="n"/>
      <c r="G28" s="65" t="n"/>
      <c r="H28" s="137" t="n"/>
      <c r="I28" s="245" t="n"/>
      <c r="J28" s="69" t="n"/>
      <c r="K28" s="138" t="n"/>
      <c r="L28" s="245" t="n"/>
      <c r="M28" s="70" t="n"/>
      <c r="N28" s="68" t="n"/>
    </row>
    <row r="29" ht="30" customHeight="1">
      <c r="A29" s="263" t="n"/>
      <c r="B29" s="264" t="n"/>
      <c r="C29" s="72" t="inlineStr">
        <is>
          <t>情报质量</t>
        </is>
      </c>
      <c r="D29" s="64" t="n">
        <v>80</v>
      </c>
      <c r="E29" s="136" t="inlineStr">
        <is>
          <t>从400电话抓住项目机会</t>
        </is>
      </c>
      <c r="F29" s="245" t="n"/>
      <c r="G29" s="65" t="n"/>
      <c r="H29" s="137" t="n"/>
      <c r="I29" s="245" t="n"/>
      <c r="J29" s="69" t="n"/>
      <c r="K29" s="138" t="n"/>
      <c r="L29" s="245" t="n"/>
      <c r="M29" s="70" t="n"/>
      <c r="N29" s="68" t="n"/>
    </row>
    <row r="30" ht="30" customHeight="1">
      <c r="A30" s="263" t="n"/>
      <c r="B30" s="184" t="inlineStr">
        <is>
          <t>专业知识</t>
        </is>
      </c>
      <c r="C30" s="72" t="inlineStr">
        <is>
          <t>产品知识</t>
        </is>
      </c>
      <c r="D30" s="64" t="n">
        <v>75</v>
      </c>
      <c r="E30" s="136" t="inlineStr">
        <is>
          <t>熟悉华为产品解决方案</t>
        </is>
      </c>
      <c r="F30" s="245" t="n"/>
      <c r="G30" s="65" t="n"/>
      <c r="H30" s="137" t="n"/>
      <c r="I30" s="245" t="n"/>
      <c r="J30" s="69" t="n"/>
      <c r="K30" s="138" t="n"/>
      <c r="L30" s="245" t="n"/>
      <c r="M30" s="70" t="n"/>
      <c r="N30" s="68" t="n"/>
    </row>
    <row r="31" ht="30" customHeight="1">
      <c r="A31" s="263" t="n"/>
      <c r="B31" s="263" t="n"/>
      <c r="C31" s="72" t="inlineStr">
        <is>
          <t>行业知识</t>
        </is>
      </c>
      <c r="D31" s="64" t="n">
        <v>82</v>
      </c>
      <c r="E31" s="136" t="n"/>
      <c r="F31" s="245" t="n"/>
      <c r="G31" s="65" t="n"/>
      <c r="H31" s="137" t="n"/>
      <c r="I31" s="245" t="n"/>
      <c r="J31" s="69" t="n"/>
      <c r="K31" s="138" t="n"/>
      <c r="L31" s="245" t="n"/>
      <c r="M31" s="70" t="n"/>
      <c r="N31" s="68" t="n"/>
    </row>
    <row r="32" ht="30" customHeight="1">
      <c r="A32" s="264" t="n"/>
      <c r="B32" s="264" t="n"/>
      <c r="C32" s="72" t="inlineStr">
        <is>
          <t>输出质量</t>
        </is>
      </c>
      <c r="D32" s="64" t="inlineStr">
        <is>
          <t>不适用</t>
        </is>
      </c>
      <c r="E32" s="136" t="n"/>
      <c r="F32" s="245" t="n"/>
      <c r="G32" s="65" t="n"/>
      <c r="H32" s="137" t="n"/>
      <c r="I32" s="245" t="n"/>
      <c r="J32" s="69" t="n"/>
      <c r="K32" s="138" t="n"/>
      <c r="L32" s="245" t="n"/>
      <c r="M32" s="70" t="n"/>
      <c r="N32" s="68" t="n"/>
    </row>
    <row r="33" ht="30" customHeight="1">
      <c r="A33" s="183" t="inlineStr">
        <is>
          <t>单元三板斧</t>
        </is>
      </c>
      <c r="B33" s="184" t="inlineStr">
        <is>
          <t>画施工图</t>
        </is>
      </c>
      <c r="C33" s="72" t="n"/>
      <c r="D33" s="64" t="n"/>
      <c r="E33" s="136" t="n"/>
      <c r="F33" s="245" t="n"/>
      <c r="G33" s="65" t="n"/>
      <c r="H33" s="137" t="n"/>
      <c r="I33" s="245" t="n"/>
      <c r="J33" s="69" t="n"/>
      <c r="K33" s="138" t="n"/>
      <c r="L33" s="245" t="n"/>
      <c r="M33" s="70" t="n"/>
      <c r="N33" s="68" t="n"/>
    </row>
    <row r="34" ht="30" customHeight="1">
      <c r="A34" s="263" t="n"/>
      <c r="B34" s="184" t="inlineStr">
        <is>
          <t>选好骨干</t>
        </is>
      </c>
      <c r="C34" s="72" t="n"/>
      <c r="D34" s="64" t="n"/>
      <c r="E34" s="136" t="n"/>
      <c r="F34" s="245" t="n"/>
      <c r="G34" s="73" t="n"/>
      <c r="H34" s="137" t="n"/>
      <c r="I34" s="245" t="n"/>
      <c r="J34" s="69" t="n"/>
      <c r="K34" s="138" t="n"/>
      <c r="L34" s="245" t="n"/>
      <c r="M34" s="70" t="n"/>
      <c r="N34" s="68" t="n"/>
    </row>
    <row r="35" ht="30" customHeight="1">
      <c r="A35" s="264" t="n"/>
      <c r="B35" s="184" t="inlineStr">
        <is>
          <t>提高人效</t>
        </is>
      </c>
      <c r="C35" s="72" t="n"/>
      <c r="D35" s="64" t="n"/>
      <c r="E35" s="136" t="n"/>
      <c r="F35" s="245" t="n"/>
      <c r="G35" s="65" t="n"/>
      <c r="H35" s="137" t="n"/>
      <c r="I35" s="245" t="n"/>
      <c r="J35" s="69" t="n"/>
      <c r="K35" s="138" t="n"/>
      <c r="L35" s="245" t="n"/>
      <c r="M35" s="70" t="n"/>
      <c r="N35" s="68" t="n"/>
    </row>
    <row r="36" ht="30" customHeight="1">
      <c r="A36" s="183" t="inlineStr">
        <is>
          <t>结果</t>
        </is>
      </c>
      <c r="B36" s="74" t="inlineStr">
        <is>
          <t>/</t>
        </is>
      </c>
      <c r="C36" s="74" t="inlineStr">
        <is>
          <t>/</t>
        </is>
      </c>
      <c r="D36" s="64" t="inlineStr">
        <is>
          <t>/</t>
        </is>
      </c>
      <c r="E36" s="136" t="n"/>
      <c r="F36" s="245" t="n"/>
      <c r="G36" s="65" t="n"/>
      <c r="H36" s="265" t="n"/>
      <c r="I36" s="245" t="n"/>
      <c r="J36" s="69" t="n"/>
      <c r="K36" s="266" t="n"/>
      <c r="L36" s="245" t="n"/>
      <c r="M36" s="75" t="n"/>
      <c r="N36" s="76" t="n"/>
    </row>
    <row r="37" ht="37.95" customHeight="1">
      <c r="A37" s="149" t="inlineStr">
        <is>
          <t>面试结果（100分）</t>
        </is>
      </c>
      <c r="B37" s="244" t="n"/>
      <c r="C37" s="245" t="n"/>
      <c r="D37" s="267">
        <f>ROUND(IF(F4="特殊人才",(D24*15+D25*6+D26*9)/30,IF(OR(F4="单元负责人A7-A9",F4="单元负责人M1-M3"),D16*0.08+D17*0.15+D18*0.05+D19*0.05+D20*0.05+D21*0.04+D22*0.04+D23*0.04+D24*0.04+D25*0.03+D26*0.03+D27*0.02+D28*0.01+D29*0.02+D30*0.02+D31*0.01+D32*0.02+D33*0.1+D34*0.1+D35*0.1,D16*0.08+D17*0.15+D18*0.05+D19*0.05+D20*0.05+D21*0.04+D22*0.04+D23*0.04+D24*0.15+D25*0.06+D26*0.09+D27*0.05+D28*0.02+D29*0.03+D30*0.03+D31*0.03+D32*0.04)),2)</f>
        <v/>
      </c>
      <c r="E37" s="78">
        <f>IF(F6="X1",IF(AND(D16&gt;=96,D17&gt;=96,(D18*5+D19*5+D20*5)/15&gt;=96,(D21*4+D22*4+D23*4)/12&gt;=96),"A+",IF(AND(D16&gt;=90,D17&gt;=90,(D18*5+D19*5+D20*5)/15&gt;=90,(D21*4+D22*4+D23*4)/12&gt;=90),"A",IF(AND(D16&gt;=80,D17&gt;=80,(D18*5+D19*5+D20*5)/15&gt;=80,(D21*4+D22*4+D23*4)/12&gt;=80),"B","淘汰C/D"))),IF(F6="X2",IF(AND(D16&gt;=80,D17&gt;=80,(D18*5+D19*5+D20*5)/15&gt;=80,(D21*4+D22*4+D23*4)/12&gt;=80,(D24*15+D25*6+D26*9)/30&gt;=60,D37&gt;=80),"A+",IF(AND(D16&gt;=80,D17&gt;=80,(D18*5+D19*5+D20*5)/15&gt;=80,(D21*4+D22*4+D23*4)/12&gt;=80,(D24*15+D25*6+D26*9)/30&gt;=60,D37&gt;=75),"A",IF(AND(D16&gt;=80,D17&gt;=80,(D18*5+D19*5+D20*5)/15&gt;=80,(D21*4+D22*4+D23*4)/12&gt;=80,(D24*15+D25*6+D26*9)/30&gt;=60,D37&gt;=70),"B","淘汰C/D"))),IF(F6="X3",IF(AND(D16&gt;=80,D17&gt;=80,(D18*5+D19*5+D20*5)/15&gt;=80,(D21*4+D22*4+D23*4)/12&gt;=80,(D24*15+D25*6+D26*9)/30&gt;=70,D37&gt;=85),"A+",IF(AND(D16&gt;=80,D17&gt;=80,(D18*5+D19*5+D20*5)/15&gt;=80,(D21*4+D22*4+D23*4)/12&gt;=80,(D24*15+D25*6+D26*9)/30&gt;=70,D37&gt;=80),"A",IF(AND(D16&gt;=80,D17&gt;=80,(D18*5+D19*5+D20*5)/15&gt;=80,(D21*4+D22*4+D23*4)/12&gt;=80,(D24*15+D25*6+D26*9)/30&gt;=70,D37&gt;=75),"B","淘汰C/D"))),IF(F6="单元负责人A7-A9",IF(AND(D16&gt;=80,D17&gt;=80,(D18*5+D19*5+D20*5)/15&gt;=80,(D21*4+D22*4+D23*4)/12&gt;=80,(D24*15+D25*6+D26*9)/30&gt;=80,D34&gt;=80,D37&gt;=85),"A+",IF(AND(D16&gt;=80,D17&gt;=80,(D18*5+D19*5+D20*5)/15&gt;=80,(D21*4+D22*4+D23*4)/12&gt;=80,(D24*15+D25*6+D26*9)/30&gt;=80,D34&gt;=80,D37&gt;=80),"A",IF(AND(D16&gt;=80,D17&gt;=80,(D18*5+D19*5+D20*5)/15&gt;=80,(D21*4+D22*4+D23*4)/12&gt;=80,(D24*15+D25*6+D26*9)/30&gt;=80,D34&gt;=80,D37&gt;=77),"B","淘汰C/D"))),IF(F6="单元负责人M1-M3",IF(AND(D16&gt;=80,D17&gt;=80,(D18*5+D19*5+D20*5)/15&gt;=80,(D21*4+D22*4+D23*4)/12&gt;=80,(D24*15+D25*6+D26*9)/30&gt;=90,D34&gt;=90,D37&gt;=85),"A+",IF(AND(D16&gt;=80,D17&gt;=80,(D18*5+D19*5+D20*5)/15&gt;=80,(D21*4+D22*4+D23*4)/12&gt;=80,(D24*15+D25*6+D26*9)/30&gt;=90,D34&gt;=90,D37&gt;=83),"A",IF(AND(D16&gt;=80,D17&gt;=80,(D18*5+D19*5+D20*5)/15&gt;=80,(D21*4+D22*4+D23*4)/12&gt;=80,(D24*15+D25*6+D26*9)/30&gt;=90,D34&gt;=90,D37&gt;=80),"B","淘汰C/D"))),IF(F6="特殊人才",IF((D24*15+D25*6+D26*9)/30&gt;=90,"A+",IF((D24*15+D25*6+D26*9)/30&gt;=85,"A",IF((D24*15+D25*6+D26*9)/30&gt;=80,"B","淘汰C/D"))),""))))))</f>
        <v/>
      </c>
      <c r="F37" s="79" t="n"/>
      <c r="G37" s="267">
        <f>ROUND(IF(F4="特殊人才",(G24*15+G25*6+G26*9)/30,IF(OR(F4="单元负责人A7-A9",F4="单元负责人M1-M3"),G16*0.08+G17*0.15+G18*0.05+G19*0.05+G20*0.05+G21*0.04+G22*0.04+G23*0.04+G24*0.04+G25*0.03+G26*0.03+G27*0.02+G28*0.01+G29*0.02+G30*0.02+G31*0.01+G32*0.02+G33*0.1+G34*0.1+G35*0.1,G16*0.08+G17*0.15+G18*0.05+G19*0.05+G20*0.05+G21*0.04+G22*0.04+G23*0.04+G24*0.15+G25*0.06+G26*0.09+G27*0.05+G28*0.02+G29*0.03+G30*0.03+G31*0.03+G32*0.04)),2)</f>
        <v/>
      </c>
      <c r="H37" s="78">
        <f>IF(F6="X1",IF(AND(G16&gt;=96,G17&gt;=96,(G18*5+G19*5+G20*5)/15&gt;=96,(G21*4+G22*4+G23*4)/12&gt;=96),"A+",IF(AND(G16&gt;=90,G17&gt;=90,(G18*5+G19*5+G20*5)/15&gt;=90,(G21*4+G22*4+G23*4)/12&gt;=90),"A",IF(AND(G16&gt;=80,G17&gt;=80,(G18*5+G19*5+G20*5)/15&gt;=80,(G21*4+G22*4+G23*4)/12&gt;=80),"B","淘汰C/D"))),IF(F6="X2",IF(AND(G16&gt;=80,G17&gt;=80,(G18*5+G19*5+G20*5)/15&gt;=80,(G21*4+G22*4+G23*4)/12&gt;=80,(G24*15+G25*6+G26*9)/30&gt;=60,G37&gt;=80),"A+",IF(AND(G16&gt;=80,G17&gt;=80,(G18*5+G19*5+G20*5)/15&gt;=80,(G21*4+G22*4+G23*4)/12&gt;=80,(G24*15+G25*6+G26*9)/30&gt;=60,G37&gt;=75),"A",IF(AND(G16&gt;=80,G17&gt;=80,(G18*5+G19*5+G20*5)/15&gt;=80,(G21*4+G22*4+G23*4)/12&gt;=80,(G24*15+G25*6+G26*9)/30&gt;=60,G37&gt;=70),"B","淘汰C/D"))),IF(F6="X3",IF(AND(G16&gt;=80,G17&gt;=80,(G18*5+G19*5+G20*5)/15&gt;=80,(G21*4+G22*4+G23*4)/12&gt;=80,(G24*15+G25*6+G26*9)/30&gt;=70,G37&gt;=85),"A+",IF(AND(G16&gt;=80,G17&gt;=80,(G18*5+G19*5+G20*5)/15&gt;=80,(G21*4+G22*4+G23*4)/12&gt;=80,(G24*15+G25*6+G26*9)/30&gt;=70,G37&gt;=80),"A",IF(AND(G16&gt;=80,G17&gt;=80,(G18*5+G19*5+G20*5)/15&gt;=80,(G21*4+G22*4+G23*4)/12&gt;=80,(G24*15+G25*6+G26*9)/30&gt;=70,G37&gt;=75),"B","淘汰C/D"))),IF(F6="单元负责人A7-A9",IF(AND(G16&gt;=80,G17&gt;=80,(G18*5+G19*5+G20*5)/15&gt;=80,(G21*4+G22*4+G23*4)/12&gt;=80,(G24*15+G25*6+G26*9)/30&gt;=80,G34&gt;=80,G37&gt;=85),"A+",IF(AND(G16&gt;=80,G17&gt;=80,(G18*5+G19*5+G20*5)/15&gt;=80,(G21*4+G22*4+G23*4)/12&gt;=80,(G24*15+G25*6+G26*9)/30&gt;=80,G34&gt;=80,G37&gt;=80),"A",IF(AND(G16&gt;=80,G17&gt;=80,(G18*5+G19*5+G20*5)/15&gt;=80,(G21*4+G22*4+G23*4)/12&gt;=80,(G24*15+G25*6+G26*9)/30&gt;=80,G34&gt;=80,G37&gt;=77),"B","淘汰C/D"))),IF(F6="单元负责人M1-M3",IF(AND(G16&gt;=80,G17&gt;=80,(G18*5+G19*5+G20*5)/15&gt;=80,(G21*4+G22*4+G23*4)/12&gt;=80,(G24*15+G25*6+G26*9)/30&gt;=90,G34&gt;=90,G37&gt;=85),"A+",IF(AND(G16&gt;=80,G17&gt;=80,(G18*5+G19*5+G20*5)/15&gt;=80,(G21*4+G22*4+G23*4)/12&gt;=80,(G24*15+G25*6+G26*9)/30&gt;=90,G34&gt;=90,G37&gt;=83),"A",IF(AND(G16&gt;=80,G17&gt;=80,(G18*5+G19*5+G20*5)/15&gt;=80,(G21*4+G22*4+G23*4)/12&gt;=80,(G24*15+G25*6+G26*9)/30&gt;=90,G34&gt;=90,G37&gt;=80),"B","淘汰C/D"))),IF(F6="特殊人才",IF((G24*15+G25*6+G26*9)/30&gt;=90,"A+",IF((G24*15+G25*6+G26*9)/30&gt;=85,"A",IF((G24*15+G25*6+G26*9)/30&gt;=80,"B","淘汰C/D"))),""))))))</f>
        <v/>
      </c>
      <c r="I37" s="80" t="n"/>
      <c r="J37" s="267">
        <f>ROUND(IF(F4="特殊人才",(J24*15+J25*6+J26*9)/30,IF(OR(F4="单元负责人A7-A9",F4="单元负责人M1-M3"),J16*0.08+J17*0.15+J18*0.05+J19*0.05+J20*0.05+J21*0.04+J22*0.04+J23*0.04+J24*0.04+J25*0.03+J26*0.03+J27*0.02+J28*0.01+J29*0.02+J30*0.02+J31*0.01+J32*0.02+J33*0.1+J34*0.1+J35*0.1,J16*0.08+J17*0.15+J18*0.05+J19*0.05+J20*0.05+J21*0.04+J22*0.04+J23*0.04+J24*0.15+J25*0.06+J26*0.09+J27*0.05+J28*0.02+J29*0.03+J30*0.03+J31*0.03+J32*0.04)),2)</f>
        <v/>
      </c>
      <c r="K37" s="81">
        <f>IF(F6="X1",IF(AND(J16&gt;=96,J17&gt;=96,(J18*5+J19*5+J20*5)/15&gt;=96,(J21*4+J22*4+J23*4)/12&gt;=96),"A+",IF(AND(J16&gt;=90,J17&gt;=90,(J18*5+J19*5+J20*5)/15&gt;=90,(J21*4+J22*4+J23*4)/12&gt;=90),"A",IF(AND(J16&gt;=80,J17&gt;=80,(J18*5+J19*5+J20*5)/15&gt;=80,(J21*4+J22*4+J23*4)/12&gt;=80),"B","淘汰C/D"))),IF(F6="X2",IF(AND(J16&gt;=80,J17&gt;=80,(J18*5+J19*5+J20*5)/15&gt;=80,(J21*4+J22*4+J23*4)/12&gt;=80,(J24*15+J25*6+J26*9)/30&gt;=60,J37&gt;=80),"A+",IF(AND(J16&gt;=80,J17&gt;=80,(J18*5+J19*5+J20*5)/15&gt;=80,(J21*4+J22*4+J23*4)/12&gt;=80,(J24*15+J25*6+J26*9)/30&gt;=60,J37&gt;=75),"A",IF(AND(J16&gt;=80,J17&gt;=80,(J18*5+J19*5+J20*5)/15&gt;=80,(J21*4+J22*4+J23*4)/12&gt;=80,(J24*15+J25*6+J26*9)/30&gt;=60,J37&gt;=70),"B","淘汰C/D"))),IF(F6="X3",IF(AND(J16&gt;=80,J17&gt;=80,(J18*5+J19*5+J20*5)/15&gt;=80,(J21*4+J22*4+J23*4)/12&gt;=80,(J24*15+J25*6+J26*9)/30&gt;=70,J37&gt;=85),"A+",IF(AND(J16&gt;=80,J17&gt;=80,(J18*5+J19*5+J20*5)/15&gt;=80,(J21*4+J22*4+J23*4)/12&gt;=80,(J24*15+J25*6+J26*9)/30&gt;=70,J37&gt;=80),"A",IF(AND(J16&gt;=80,J17&gt;=80,(J18*5+J19*5+J20*5)/15&gt;=80,(J21*4+J22*4+J23*4)/12&gt;=80,(J24*15+J25*6+J26*9)/30&gt;=70,J37&gt;=75),"B","淘汰C/D"))),IF(F6="单元负责人A7-A9",IF(AND(J16&gt;=80,J17&gt;=80,(J18*5+J19*5+J20*5)/15&gt;=80,(J21*4+J22*4+J23*4)/12&gt;=80,(J24*15+J25*6+J26*9)/30&gt;=80,J34&gt;=80,J37&gt;=85),"A+",IF(AND(J16&gt;=80,J17&gt;=80,(J18*5+J19*5+J20*5)/15&gt;=80,(J21*4+J22*4+J23*4)/12&gt;=80,(J24*15+J25*6+J26*9)/30&gt;=80,J34&gt;=80,J37&gt;=80),"A",IF(AND(J16&gt;=80,J17&gt;=80,(J18*5+J19*5+J20*5)/15&gt;=80,(J21*4+J22*4+J23*4)/12&gt;=80,(J24*15+J25*6+J26*9)/30&gt;=80,J34&gt;=80,J37&gt;=77),"B","淘汰C/D"))),IF(F6="单元负责人M1-M3",IF(AND(J16&gt;=80,J17&gt;=80,(J18*5+J19*5+J20*5)/15&gt;=80,(J21*4+J22*4+J23*4)/12&gt;=80,(J24*15+J25*6+J26*9)/30&gt;=90,J34&gt;=90,J37&gt;=85),"A+",IF(AND(J16&gt;=80,J17&gt;=80,(J18*5+J19*5+J20*5)/15&gt;=80,(J21*4+J22*4+J23*4)/12&gt;=80,(J24*15+J25*6+J26*9)/30&gt;=90,J34&gt;=90,J37&gt;=83),"A",IF(AND(J16&gt;=80,J17&gt;=80,(J18*5+J19*5+J20*5)/15&gt;=80,(J21*4+J22*4+J23*4)/12&gt;=80,(J24*15+J25*6+J26*9)/30&gt;=90,J34&gt;=90,J37&gt;=80),"B","淘汰C/D"))),IF(F6="特殊人才",IF((J24*15+J25*6+J26*9)/30&gt;=90,"A+",IF((J24*15+J25*6+J26*9)/30&gt;=85,"A",IF((J24*15+J25*6+J26*9)/30&gt;=80,"B","淘汰C/D"))),""))))))</f>
        <v/>
      </c>
      <c r="L37" s="81" t="n"/>
      <c r="M37" s="267">
        <f>ROUND(IF(F4="特殊人才",(M24*15+M25*6+M26*9)/30,IF(OR(F4="单元负责人A7-A9",F4="单元负责人M1-M3"),M16*0.08+M17*0.15+M18*0.05+M19*0.05+M20*0.05+M21*0.04+M22*0.04+M23*0.04+M24*0.04+M25*0.03+M26*0.03+M27*0.02+M28*0.01+M29*0.02+M30*0.02+M31*0.01+M32*0.02+M33*0.1+M34*0.1+M35*0.1,M16*0.08+M17*0.15+M18*0.05+M19*0.05+M20*0.05+M21*0.04+M22*0.04+M23*0.04+M24*0.15+M25*0.06+M26*0.09+M27*0.05+M28*0.02+M29*0.03+M30*0.03+M31*0.03+M32*0.04)),2)</f>
        <v/>
      </c>
      <c r="N37" s="81" t="inlineStr">
        <is>
          <t>A</t>
        </is>
      </c>
    </row>
    <row r="38" ht="24" customHeight="1">
      <c r="A38" s="150" t="inlineStr">
        <is>
          <t>面试结果</t>
        </is>
      </c>
      <c r="B38" s="244" t="n"/>
      <c r="C38" s="244" t="n"/>
      <c r="D38" s="244" t="n"/>
      <c r="E38" s="244" t="n"/>
      <c r="F38" s="244" t="n"/>
      <c r="G38" s="244" t="n"/>
      <c r="H38" s="244" t="n"/>
      <c r="I38" s="244" t="n"/>
      <c r="J38" s="244" t="n"/>
      <c r="K38" s="244" t="n"/>
      <c r="L38" s="244" t="n"/>
      <c r="M38" s="244" t="n"/>
      <c r="N38" s="245" t="n"/>
    </row>
    <row r="39" ht="24" customHeight="1">
      <c r="A39" s="152" t="inlineStr">
        <is>
          <t>初试</t>
        </is>
      </c>
      <c r="B39" s="244" t="n"/>
      <c r="C39" s="244" t="n"/>
      <c r="D39" s="244" t="n"/>
      <c r="E39" s="244" t="n"/>
      <c r="F39" s="245" t="n"/>
      <c r="G39" s="150" t="inlineStr">
        <is>
          <t>线下协同初试</t>
        </is>
      </c>
      <c r="H39" s="244" t="n"/>
      <c r="I39" s="245" t="n"/>
      <c r="J39" s="150" t="inlineStr">
        <is>
          <t>复试</t>
        </is>
      </c>
      <c r="K39" s="244" t="n"/>
      <c r="L39" s="245" t="n"/>
      <c r="M39" s="150" t="inlineStr">
        <is>
          <t>终试</t>
        </is>
      </c>
      <c r="N39" s="245" t="n"/>
    </row>
    <row r="40" ht="49.05" customHeight="1">
      <c r="A40" s="185" t="inlineStr">
        <is>
          <t>可录用</t>
        </is>
      </c>
      <c r="B40" s="261" t="n"/>
      <c r="C40" s="74" t="inlineStr">
        <is>
          <t>铁杆验证情况</t>
        </is>
      </c>
      <c r="D40" s="268" t="inlineStr">
        <is>
          <t>验证人？验证人与候选人为？关系，候选人铁杆情况：X用户/生态X层级，支持试用期海量产品签约能力</t>
        </is>
      </c>
      <c r="E40" s="244" t="n"/>
      <c r="F40" s="245" t="n"/>
      <c r="G40" s="269" t="n"/>
      <c r="H40" s="244" t="n"/>
      <c r="I40" s="245" t="n"/>
      <c r="J40" s="270" t="inlineStr">
        <is>
          <t>验证人？验证人与候选人为？关系，候选人铁杆情况：X用户/生态X层级，支持试用期海量产品签约能力</t>
        </is>
      </c>
      <c r="K40" s="244" t="n"/>
      <c r="L40" s="245" t="n"/>
      <c r="M40" s="162" t="n"/>
      <c r="N40" s="245" t="n"/>
    </row>
    <row r="41" ht="33" customHeight="1">
      <c r="A41" s="271" t="n"/>
      <c r="B41" s="272" t="n"/>
      <c r="C41" s="185" t="inlineStr">
        <is>
          <t>级别、薪资与任务</t>
        </is>
      </c>
      <c r="D41" s="74" t="n"/>
      <c r="E41" s="55" t="n"/>
      <c r="F41" s="55" t="n"/>
      <c r="G41" s="269" t="n"/>
      <c r="H41" s="244" t="n"/>
      <c r="I41" s="245" t="n"/>
      <c r="J41" s="273" t="n"/>
      <c r="K41" s="244" t="n"/>
      <c r="L41" s="245" t="n"/>
      <c r="M41" s="162" t="n"/>
      <c r="N41" s="245" t="n"/>
    </row>
    <row r="42" ht="22.95" customHeight="1">
      <c r="A42" s="271" t="n"/>
      <c r="B42" s="272" t="n"/>
      <c r="C42" s="83" t="inlineStr">
        <is>
          <t>说服建议</t>
        </is>
      </c>
      <c r="D42" s="83" t="inlineStr">
        <is>
          <t>说服建议</t>
        </is>
      </c>
      <c r="E42" s="84" t="n"/>
      <c r="F42" s="85" t="n"/>
      <c r="G42" s="269" t="n"/>
      <c r="J42" s="273" t="n"/>
      <c r="M42" s="162" t="n"/>
      <c r="N42" s="245" t="n"/>
    </row>
    <row r="43" ht="22.95" customHeight="1">
      <c r="A43" s="274" t="n"/>
      <c r="B43" s="247" t="n"/>
      <c r="C43" s="83" t="inlineStr">
        <is>
          <t>其它建议</t>
        </is>
      </c>
      <c r="D43" s="83" t="inlineStr">
        <is>
          <t>其它建议</t>
        </is>
      </c>
      <c r="E43" s="275" t="inlineStr">
        <is>
          <t>目标学校/公司资源、合作洽谈……</t>
        </is>
      </c>
      <c r="F43" s="261" t="n"/>
      <c r="G43" s="276" t="n"/>
      <c r="H43" s="260" t="n"/>
      <c r="I43" s="261" t="n"/>
      <c r="J43" s="277" t="n"/>
      <c r="K43" s="260" t="n"/>
      <c r="L43" s="261" t="n"/>
      <c r="M43" s="162" t="n"/>
      <c r="N43" s="245" t="n"/>
    </row>
    <row r="44" ht="24" customHeight="1">
      <c r="A44" s="176" t="inlineStr">
        <is>
          <t>合议讨论</t>
        </is>
      </c>
    </row>
    <row r="45" ht="22.95" customHeight="1">
      <c r="A45" s="183" t="inlineStr">
        <is>
          <t>复试&amp;终试领导合议项</t>
        </is>
      </c>
      <c r="B45" s="261" t="n"/>
      <c r="C45" s="178" t="inlineStr">
        <is>
          <t>合议内容</t>
        </is>
      </c>
      <c r="D45" s="178" t="n"/>
      <c r="E45" s="244" t="n"/>
      <c r="F45" s="244" t="n"/>
      <c r="G45" s="244" t="n"/>
      <c r="H45" s="244" t="n"/>
      <c r="I45" s="244" t="n"/>
      <c r="J45" s="244" t="n"/>
      <c r="K45" s="244" t="n"/>
      <c r="L45" s="244" t="n"/>
      <c r="M45" s="244" t="n"/>
      <c r="N45" s="245" t="n"/>
    </row>
    <row r="46" ht="22.95" customHeight="1">
      <c r="A46" s="274" t="n"/>
      <c r="B46" s="247" t="n"/>
      <c r="C46" s="178" t="inlineStr">
        <is>
          <t>合议结果</t>
        </is>
      </c>
      <c r="D46" s="178" t="n"/>
      <c r="E46" s="244" t="n"/>
      <c r="F46" s="244" t="n"/>
      <c r="G46" s="244" t="n"/>
      <c r="H46" s="244" t="n"/>
      <c r="I46" s="245" t="n"/>
      <c r="J46" s="182" t="inlineStr">
        <is>
          <t>级别：</t>
        </is>
      </c>
      <c r="K46" s="244" t="n"/>
      <c r="L46" s="245" t="n"/>
      <c r="M46" s="182" t="inlineStr">
        <is>
          <t>薪资：</t>
        </is>
      </c>
      <c r="N46" s="245" t="n"/>
    </row>
    <row r="47" ht="24" customHeight="1">
      <c r="A47" s="87" t="inlineStr">
        <is>
          <t>说明：</t>
        </is>
      </c>
      <c r="B47" s="87" t="n"/>
    </row>
    <row r="48" ht="24" customHeight="1">
      <c r="A48" s="87" t="inlineStr">
        <is>
          <t>1、人才类型必选项</t>
        </is>
      </c>
      <c r="B48" s="87" t="n"/>
    </row>
    <row r="49" ht="24" customHeight="1">
      <c r="A49" s="87" t="inlineStr">
        <is>
          <t>2、非单元负责人需识别AI应用能力+底色+岗位三板斧，</t>
        </is>
      </c>
      <c r="B49" s="87" t="n"/>
    </row>
    <row r="50" ht="24" customHeight="1">
      <c r="A50" s="87" t="inlineStr">
        <is>
          <t>3、单元负责人需识别AI应用能力+底色+岗位三板斧+单元三板斧</t>
        </is>
      </c>
      <c r="B50" s="87" t="n"/>
    </row>
    <row r="51" ht="24" customHeight="1">
      <c r="A51" s="87" t="inlineStr">
        <is>
          <t>4、X1高潜岗位重点识别AI能力+底色，特殊人才仅识别搞成铁杆能力</t>
        </is>
      </c>
      <c r="B51" s="87" t="n"/>
    </row>
    <row r="59" ht="69" customHeight="1"/>
    <row r="60" hidden="1" ht="24" customHeight="1">
      <c r="A60" s="88" t="inlineStr">
        <is>
          <t>90-100分：慧眼识人，精准识别高潜、高能销售、特殊人才；敢于任用能力强于自己的骨干，人岗高度匹配、用人所长；销售梯队健康，新人、熟手、攻坚骨干层级完整、持续涌现</t>
        </is>
      </c>
    </row>
    <row r="61" hidden="1" ht="24" customHeight="1">
      <c r="A61" s="88" t="inlineStr">
        <is>
          <t>80-89分：能识别优秀人才，任用基本合理；骨干队伍稳定，能支撑业绩指标；即便个别销售出现波动也能及时调整或补充，团队战斗力有保障</t>
        </is>
      </c>
    </row>
    <row r="62" hidden="1" ht="24" customHeight="1">
      <c r="A62" s="88" t="inlineStr">
        <is>
          <t>70-79分：识人眼光一般，存在人岗错配，但核心骨干队伍基本稳定，不影响核心业务</t>
        </is>
      </c>
    </row>
    <row r="63" hidden="1" ht="24" customHeight="1">
      <c r="A63" s="88" t="inlineStr">
        <is>
          <t>60-69分：识人眼光差，频繁招错人或用错人；核心销售/骨干流失严重或长期空缺，团队战斗力大幅下滑</t>
        </is>
      </c>
    </row>
    <row r="64" hidden="1" ht="24" customHeight="1">
      <c r="A64" s="88" t="inlineStr">
        <is>
          <t>&lt;60分：嫉贤妒能，害怕下属业绩超过自己；团队投诉、内耗严重，无可用骨干或骨干均为庸才，团队形同虚设</t>
        </is>
      </c>
    </row>
    <row r="65" hidden="1" ht="24" customHeight="1"/>
    <row r="66" hidden="1" ht="24" customHeight="1">
      <c r="A66" s="89" t="inlineStr">
        <is>
          <t>90-100分：深刻理解公司战略并精准转化为可落地的销售策略；市场洞察敏锐，客户分层清晰，核心客户突破路径极其明确，节点预测精准；团队对业绩目标和打法节奏高度认同，销售动作标准统一，执行顺畅无偏差</t>
        </is>
      </c>
    </row>
    <row r="67" hidden="1" ht="24" customHeight="1">
      <c r="A67" s="48" t="inlineStr">
        <is>
          <t>80-89分：能制定完整作战计划，业绩目标拆解合理；主要市场风险、项目风险有应对预案，执行基本顺畅，偶有微调不影响整体结果</t>
        </is>
      </c>
    </row>
    <row r="68" hidden="1" ht="24" customHeight="1">
      <c r="A68" s="48" t="inlineStr">
        <is>
          <t>70-79分：计划基本可行，但细节不够完善、风险识别不全，执行中需多次调整方向，但最终能勉强达成目标</t>
        </is>
      </c>
    </row>
    <row r="69" hidden="1" ht="24" customHeight="1">
      <c r="A69" s="48" t="inlineStr">
        <is>
          <t>60-69分：计划粗糙，目标拆解模糊；风险频发、应对被动，执行混乱，频繁出现丢单、延期、回款滞后，多次返工调整</t>
        </is>
      </c>
    </row>
    <row r="70" hidden="1" ht="66" customHeight="1">
      <c r="A70" s="48" t="inlineStr">
        <is>
          <t>&lt;60分：无计划或计划脱离实际，业绩推进完全失控，连续丢单、目标严重缺口，团队作战无序</t>
        </is>
      </c>
    </row>
  </sheetData>
  <mergeCells count="145">
    <mergeCell ref="H35:I35"/>
    <mergeCell ref="M43:N43"/>
    <mergeCell ref="A15:B15"/>
    <mergeCell ref="A37:C37"/>
    <mergeCell ref="K24:L24"/>
    <mergeCell ref="K33:L33"/>
    <mergeCell ref="E23:F23"/>
    <mergeCell ref="J11:L11"/>
    <mergeCell ref="K26:L26"/>
    <mergeCell ref="D45:N45"/>
    <mergeCell ref="K35:L35"/>
    <mergeCell ref="M10:N10"/>
    <mergeCell ref="J3:L3"/>
    <mergeCell ref="E34:F34"/>
    <mergeCell ref="J46:L46"/>
    <mergeCell ref="B21:B23"/>
    <mergeCell ref="E27:F27"/>
    <mergeCell ref="J39:L39"/>
    <mergeCell ref="G9:I9"/>
    <mergeCell ref="E36:F36"/>
    <mergeCell ref="G2:I2"/>
    <mergeCell ref="A8:N8"/>
    <mergeCell ref="H15:I15"/>
    <mergeCell ref="K28:L28"/>
    <mergeCell ref="H23:I23"/>
    <mergeCell ref="E22:F22"/>
    <mergeCell ref="J40:L40"/>
    <mergeCell ref="K30:L30"/>
    <mergeCell ref="G6:I6"/>
    <mergeCell ref="K15:L15"/>
    <mergeCell ref="A17:A23"/>
    <mergeCell ref="K21:L21"/>
    <mergeCell ref="J7:L7"/>
    <mergeCell ref="A1:N1"/>
    <mergeCell ref="H34:I34"/>
    <mergeCell ref="J41:L41"/>
    <mergeCell ref="H25:I25"/>
    <mergeCell ref="A2:F2"/>
    <mergeCell ref="G14:I14"/>
    <mergeCell ref="K32:L32"/>
    <mergeCell ref="G4:I4"/>
    <mergeCell ref="H36:I36"/>
    <mergeCell ref="J43:L43"/>
    <mergeCell ref="H17:I17"/>
    <mergeCell ref="M7:N7"/>
    <mergeCell ref="J2:L2"/>
    <mergeCell ref="G41:I41"/>
    <mergeCell ref="A9:F9"/>
    <mergeCell ref="K27:L27"/>
    <mergeCell ref="H19:I19"/>
    <mergeCell ref="M41:N41"/>
    <mergeCell ref="H28:I28"/>
    <mergeCell ref="E26:F26"/>
    <mergeCell ref="G43:I43"/>
    <mergeCell ref="K17:L17"/>
    <mergeCell ref="J5:L5"/>
    <mergeCell ref="A11:F11"/>
    <mergeCell ref="J14:L14"/>
    <mergeCell ref="E16:F16"/>
    <mergeCell ref="E25:F25"/>
    <mergeCell ref="A38:N38"/>
    <mergeCell ref="D40:F40"/>
    <mergeCell ref="K19:L19"/>
    <mergeCell ref="E18:F18"/>
    <mergeCell ref="A16:C16"/>
    <mergeCell ref="K16:L16"/>
    <mergeCell ref="J6:L6"/>
    <mergeCell ref="K25:L25"/>
    <mergeCell ref="G10:I10"/>
    <mergeCell ref="M9:N9"/>
    <mergeCell ref="M5:N5"/>
    <mergeCell ref="B24:B26"/>
    <mergeCell ref="H31:I31"/>
    <mergeCell ref="M39:N39"/>
    <mergeCell ref="G3:I3"/>
    <mergeCell ref="J4:L4"/>
    <mergeCell ref="K29:L29"/>
    <mergeCell ref="M2:N2"/>
    <mergeCell ref="E20:F20"/>
    <mergeCell ref="H21:I21"/>
    <mergeCell ref="M11:N11"/>
    <mergeCell ref="E29:F29"/>
    <mergeCell ref="G5:I5"/>
    <mergeCell ref="K31:L31"/>
    <mergeCell ref="B17:C17"/>
    <mergeCell ref="E31:F31"/>
    <mergeCell ref="M40:N40"/>
    <mergeCell ref="A10:F10"/>
    <mergeCell ref="E15:F15"/>
    <mergeCell ref="H16:I16"/>
    <mergeCell ref="M12:N12"/>
    <mergeCell ref="G40:I40"/>
    <mergeCell ref="G12:I12"/>
    <mergeCell ref="K23:L23"/>
    <mergeCell ref="H22:I22"/>
    <mergeCell ref="A39:F39"/>
    <mergeCell ref="J10:L10"/>
    <mergeCell ref="E32:F32"/>
    <mergeCell ref="J9:L9"/>
    <mergeCell ref="G7:I7"/>
    <mergeCell ref="K18:L18"/>
    <mergeCell ref="A13:N13"/>
    <mergeCell ref="H30:I30"/>
    <mergeCell ref="A44:N44"/>
    <mergeCell ref="E43:F43"/>
    <mergeCell ref="K34:L34"/>
    <mergeCell ref="H20:I20"/>
    <mergeCell ref="E24:F24"/>
    <mergeCell ref="H29:I29"/>
    <mergeCell ref="E33:F33"/>
    <mergeCell ref="B30:B32"/>
    <mergeCell ref="A33:A35"/>
    <mergeCell ref="A12:F12"/>
    <mergeCell ref="K36:L36"/>
    <mergeCell ref="E17:F17"/>
    <mergeCell ref="E35:F35"/>
    <mergeCell ref="K20:L20"/>
    <mergeCell ref="A14:F14"/>
    <mergeCell ref="E19:F19"/>
    <mergeCell ref="E28:F28"/>
    <mergeCell ref="J12:L12"/>
    <mergeCell ref="K22:L22"/>
    <mergeCell ref="E30:F30"/>
    <mergeCell ref="M6:N6"/>
    <mergeCell ref="H32:I32"/>
    <mergeCell ref="M46:N46"/>
    <mergeCell ref="A40:B43"/>
    <mergeCell ref="M42:N42"/>
    <mergeCell ref="M3:N3"/>
    <mergeCell ref="B7:D7"/>
    <mergeCell ref="B27:B29"/>
    <mergeCell ref="B18:B20"/>
    <mergeCell ref="H27:I27"/>
    <mergeCell ref="G11:I11"/>
    <mergeCell ref="A24:A32"/>
    <mergeCell ref="D46:I46"/>
    <mergeCell ref="A45:B46"/>
    <mergeCell ref="H24:I24"/>
    <mergeCell ref="H18:I18"/>
    <mergeCell ref="H33:I33"/>
    <mergeCell ref="G39:I39"/>
    <mergeCell ref="M14:N14"/>
    <mergeCell ref="M4:N4"/>
    <mergeCell ref="E21:F21"/>
    <mergeCell ref="H26:I26"/>
  </mergeCells>
  <dataValidations count="25">
    <dataValidation sqref="F4" showDropDown="0" showInputMessage="1" showErrorMessage="1" allowBlank="1" type="list">
      <formula1>"打不过的竞争对手,衰弱数据库公司,数据库运维服务商,数据库代理商,xPU,云厂商,基础软件厂商,计算厂商,存储厂商,安全厂商,数通厂商,SI,行业 ISV,区域地头蛇,其他"</formula1>
    </dataValidation>
    <dataValidation sqref="F6" showDropDown="0" showInputMessage="1" showErrorMessage="1" allowBlank="1" type="list">
      <formula1>"X1,X2,X3,单元负责人A7-A9,单元负责人M1-M3,特殊人才"</formula1>
    </dataValidation>
    <dataValidation sqref="E16:F16 H16:I16 K16:L16 N16" showDropDown="0" showInputMessage="1" showErrorMessage="1" allowBlank="1" type="list">
      <formula1>"90–100：主动拥抱 AI，精通工具，高效挖掘线索、智能复盘、优化话术，显著提升转化率与人效；持续学习前沿应用，带动团队，引领 AI 驱动销售文化,80-89：认可 AI 价值，熟练使用核心工具辅助业务，效率提升明显，关注新应用并主动分享,0：被动使用 AI，掌握基础功能，能完成简单任务，效率提升有限，学习主动性弱，分享少,0：尝试使用 AI 但效果差，偶有抵触，学习意愿低，未带来实际效益,0：拒绝使用 AI，固守旧法，效率低下，抵制学习，阻碍团队数字化"</formula1>
    </dataValidation>
    <dataValidation sqref="E17:F17 H17:I17 K17:L17 N17" showDropDown="0" showInputMessage="1" showErrorMessage="1" allowBlank="1" type="list">
      <formula1>"90–100 分：极强内驱力，热爱本职，自觉攻坚，抗压性与斗志爆棚，无需监督也能全力以赴,80–89 分：热情稳定，主动投入，遇困善谋对策，积极突破，做事态度端正且有韧劲,0：认可价值，按标执行，愿学提升；可应对常规挑战，但长期攻坚与高难项目动力不足,0：兴趣平平，被动执行为主，缺开拓意识与深度思考，遇压易退缩，难担重任,0：无兴趣无动力，完全依赖外部推力，缺乏自驱力与使命感，难以胜任核心岗位。"</formula1>
    </dataValidation>
    <dataValidation sqref="E18:F18 H18:I18 K18:L18 N18" showDropDown="0" showInputMessage="1" showErrorMessage="1" allowBlank="1" type="list">
      <formula1>"95-100分：无指令、无资源也能主动破局创结果,90-94分：主动抢机会、抢目标、抢进展,80-89分：积极推进，不等不靠,60-79分：安排才动，能执行,≤59分：被动、等靠要、躺平"</formula1>
    </dataValidation>
    <dataValidation sqref="E19:F19 H19:I19 K19:L19 N19" showDropDown="0" showInputMessage="1" showErrorMessage="1" allowBlank="1" type="list">
      <formula1>"95-100分：目标必达，死磕到底零借口,90-94分：重压下必完成，不放弃,80-89分：稳定达标,60-79分：勉强完成,≤59分：频繁完不成，找理由"</formula1>
    </dataValidation>
    <dataValidation sqref="E20:F20 H20:I20 K20:L20 N20" showDropDown="0" showInputMessage="1" showErrorMessage="1" allowBlank="1" type="list">
      <formula1>"95-100分：凡事闭环，事事有最终结果,90-94分：主动反馈，有头有尾,80-89分：能闭环，不甩锅,60-79分：需多次催促才收尾,≤59分：烂尾、推诿、无交代"</formula1>
    </dataValidation>
    <dataValidation sqref="E21:F21 H21:I21 K21:L21 N21" showDropDown="0" showInputMessage="1" showErrorMessage="1" allowBlank="1" type="list">
      <formula1>"95-100分：信任拉满，他人愿为你背书、担保、代成交,90-94分：高度信赖，非你不合作、只认你,80-89分：可托付关键信息，决策优先听你,60-79分：表面友好，内心保留,≤59分：难以建立真实信任"</formula1>
    </dataValidation>
    <dataValidation sqref="E22:F22 H22:I22 K22:L22 N22" showDropDown="0" showInputMessage="1" showErrorMessage="1" allowBlank="1" type="list">
      <formula1>"95-100分：不开口即懂动机、底线、真实利益,90-94分：秒懂潜台词，预判行为,80-89分：准确识别立场、情绪、需求,60-79分：正常沟通，不误解,≤59分：读不懂人，频繁踩雷"</formula1>
    </dataValidation>
    <dataValidation sqref="E23:F23 H23:I23 K23:L23 N23" showDropDown="0" showInputMessage="1" showErrorMessage="1" allowBlank="1" type="list">
      <formula1>"95-100分：成为铁杆盟友，长期不可替代,90-94分：越合作越强绑定,80-89分：稳定维护，无内耗,60-79分：普通往来，不升温,≤59分：压力下关系即断裂"</formula1>
    </dataValidation>
    <dataValidation sqref="E24:F24 H24:I24 K24:L24 N24" showDropDown="0" showInputMessage="1" showErrorMessage="1" allowBlank="1" type="list">
      <formula1>"91-100分：真铁杆（无条件信任）,81-90分：相对信任,71-80分：初步信任,60-70分：关系破冰 / 良好印象 / 初识对接,≤59分：浅层接触 / 被动建联 / 无有效互动 / 无认知关联"</formula1>
    </dataValidation>
    <dataValidation sqref="E25:F25 H25:I25 K25:L25 N25" showDropDown="0" showInputMessage="1" showErrorMessage="1" allowBlank="1" type="list">
      <formula1>"91-100分：10名以上有效对接的铁杆客户,81-90分：8-10名有效对接的铁杆客户,71-80分：6-7名有效对接的铁杆客户,60-70分：3-5名有效对接的铁杆客户,≤59分：≤2名有效对接的铁杆客户（或仅潜在/浅层接触）"</formula1>
    </dataValidation>
    <dataValidation sqref="E26:F26 H26:I26 K26:L26 N26" showDropDown="0" showInputMessage="1" showErrorMessage="1" allowBlank="1" type="list">
      <formula1>"91-100分：单个铁杆带来年收入≥500万,81-90分：单个铁杆带来年收入≥300万,71-80分：单个铁杆带来年收入≥200万,60-70分：单个铁杆带来年收入≥100万,≤59分：单个铁杆带来年收入＜100万（或无实际业绩）"</formula1>
    </dataValidation>
    <dataValidation sqref="E27:F27 H27:I27 K27:L27 N27" showDropDown="0" showInputMessage="1" showErrorMessage="1" allowBlank="1" type="list">
      <formula1>"91-100分：有铁杆线人，形成线人体系且交叉验证,81-90分：有稳定的决策层线人,71-80分：有稳定的基层线人,60-70分：有线人但非道听途说，信息获取偶发,≤59分：无线人或仅靠公开信息/道听途说，无法验证真实性"</formula1>
    </dataValidation>
    <dataValidation sqref="E28:F28 H28:I28 K28:L28 N28" showDropDown="0" showInputMessage="1" showErrorMessage="1" allowBlank="1" type="list">
      <formula1>"91-100分：构建情报网络，驱动决策；多源验证，系统化整理,81-90分：主动挖掘，归类归档,71-80分：记录留存，初步归类,60-70分：有记录习惯，但信息零散、无法归档,≤59分：几乎不记录/无整理意识，信息零散混乱、无法追溯"</formula1>
    </dataValidation>
    <dataValidation sqref="E29:F29 H29:I29 K29:L29 N29" showDropDown="0" showInputMessage="1" showErrorMessage="1" allowBlank="1" type="list">
      <formula1>"91-100分：高质量情报驱动战略决策，持续赢单并预判市场先机,81-90分：全面了解项目底牌信息，确保项目赢单,71-80分：掌握真实的关键客户诉求及立场，掌握真实项目情报,60-70分：掌握真实的责任田情报，对业务格局有基本认知,≤59分：仅听过公司/行业名称，对业务模式和痛点几乎无概念"</formula1>
    </dataValidation>
    <dataValidation sqref="E30:F30 H30:I30 K30:L30 N30" showDropDown="0" showInputMessage="1" showErrorMessage="1" allowBlank="1" type="list">
      <formula1>"91-100分：精通竞争分析和招投标，精通产品特性和核心技术,81-90分：掌握公司自主产品案例集，能独立撰写完整解决方案,71-80分：掌握专业术语、信创产业概念，了解公司产品用途,60-70分：听过公司主要产品，不清楚具体功能和差异,≤59分：对自家产品几乎无认知，无法说出任何产品信息"</formula1>
    </dataValidation>
    <dataValidation sqref="E31:F31 H31:I31 K31:L31 N31" showDropDown="0" showInputMessage="1" showErrorMessage="1" allowBlank="1" type="list">
      <formula1>"91-100分：深入行业背后资源及圈子，清晰行业政策和惯例,81-90分：全面掌握行业应用系统和场景，掌握方案构建能力,71-80分：掌握行业客户、主要玩家和格局情况，初步了解行业术语,60-70分：听说过几个行业名称，但不了解业务模式和痛点,≤59分：对行业业务毫无概念，无法说出任何行业信息"</formula1>
    </dataValidation>
    <dataValidation sqref="E32:F32 H32:I32 K32:L32 N32" showDropDown="0" showInputMessage="1" showErrorMessage="1" allowBlank="1" type="list">
      <formula1>"91-100分：能独立辅导客户完成招投标全流程，主导项目关键进程,81-90分：能根据客户需求独立撰写完整的定制化解决方案,71-80分：具备独立宣讲能力，能灵活运用素材进行场景化演讲,60-70分：具备基础讲解能力，能流畅输出产品与行业基础知识,≤59分：仅能复述标准材料，讲解缺乏感染力，遇到提问容易卡顿"</formula1>
    </dataValidation>
    <dataValidation sqref="E33:F33 H33:I33 K33:L33 N33" showDropDown="0" showInputMessage="1" showErrorMessage="1" allowBlank="1" type="list">
      <formula1>$A$66:$A$70</formula1>
    </dataValidation>
    <dataValidation sqref="E34:F34 H34:I34 K34:L34 N34" showDropDown="0" showInputMessage="1" showErrorMessage="1" allowBlank="1" type="list">
      <formula1>$A$60:$A$64</formula1>
    </dataValidation>
    <dataValidation sqref="E35:F35 H35:I35 K35:L35 N35" showDropDown="0" showInputMessage="1" showErrorMessage="1" allowBlank="1" type="list">
      <formula1>"90-100分：人效显著高于同规模团队；善用工具提升跟进效率；人才培养体系完善，新人快速上手、老人持续突破，团队士气高昂,80-89分：稳定完成业绩目标，人均产出良好；重视人才培养，能带出可独立作战的骨干,70-79分：勉强完成业绩目标，主要靠个别销售扛业绩；人才培养偶有亮点，但缺乏系统性,60-69分：忙而无效、频繁加班但产出低下；忽视人才培养，新人成长慢、老员工躺平，存活率低,&lt;60分：产出完全无法支撑业绩目标；无人可用、或现有人员能力严重不足，商机枯竭，成为公司业务增长瓶颈"</formula1>
    </dataValidation>
    <dataValidation sqref="H36:I36 K36:L36 N36" showDropDown="0" showInputMessage="1" showErrorMessage="1" allowBlank="1" type="list">
      <formula1>"90-100分：精通产品行业，能独立做方案、辅导招投标,80-89分：熟产品懂行业，可独立撰写定制化解决方案,70-79分：掌握基础专业知识，能独立解答客户常规咨询,60-69分：专业基础薄弱，需辅助完成客户对接讲解,＜60分：专业知识匮乏，无法独立对接客户、讲解产品"</formula1>
    </dataValidation>
    <dataValidation sqref="N37" showDropDown="0" showInputMessage="1" showErrorMessage="1" allowBlank="1" type="list">
      <formula1>"A+,A,B"</formula1>
    </dataValidation>
    <dataValidation sqref="M10:M12" showDropDown="0" showInputMessage="1" showErrorMessage="1" allowBlank="1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D33" sqref="D33"/>
    </sheetView>
  </sheetViews>
  <sheetFormatPr baseColWidth="8" defaultColWidth="9.109375" defaultRowHeight="13.8"/>
  <cols>
    <col width="12.21875" customWidth="1" min="1" max="1"/>
    <col width="18.5546875" customWidth="1" min="2" max="2"/>
    <col width="19" customWidth="1" min="3" max="3"/>
    <col width="12.6640625" customWidth="1" min="6" max="6"/>
    <col width="15.21875" customWidth="1" min="7" max="7"/>
    <col width="11.109375" customWidth="1" min="11" max="11"/>
    <col width="14.88671875" customWidth="1" min="12" max="12"/>
  </cols>
  <sheetData>
    <row r="1" ht="15.6" customHeight="1">
      <c r="A1" s="186" t="inlineStr">
        <is>
          <t>录用评估表（100分制）</t>
        </is>
      </c>
      <c r="B1" s="244" t="n"/>
      <c r="C1" s="244" t="n"/>
      <c r="D1" s="244" t="n"/>
      <c r="E1" s="244" t="n"/>
      <c r="F1" s="244" t="n"/>
      <c r="G1" s="244" t="n"/>
      <c r="H1" s="244" t="n"/>
      <c r="I1" s="244" t="n"/>
      <c r="J1" s="244" t="n"/>
      <c r="K1" s="244" t="n"/>
      <c r="L1" s="245" t="n"/>
    </row>
    <row r="2">
      <c r="A2" s="219" t="inlineStr">
        <is>
          <t>考核项</t>
        </is>
      </c>
      <c r="B2" s="278" t="n"/>
      <c r="C2" s="220" t="n"/>
      <c r="D2" s="220" t="inlineStr">
        <is>
          <t>总分权重</t>
        </is>
      </c>
      <c r="E2" s="278" t="n"/>
      <c r="F2" s="31" t="n"/>
      <c r="G2" s="219" t="inlineStr">
        <is>
          <t>评估标准（AI实现）</t>
        </is>
      </c>
      <c r="L2" s="278" t="n"/>
    </row>
    <row r="3">
      <c r="A3" s="279" t="n"/>
      <c r="B3" s="278" t="n"/>
      <c r="C3" s="220" t="n"/>
      <c r="D3" s="280" t="n"/>
      <c r="E3" s="281" t="n"/>
      <c r="F3" s="212" t="inlineStr">
        <is>
          <t>打分</t>
        </is>
      </c>
      <c r="G3" s="282" t="n"/>
      <c r="H3" s="280" t="n"/>
      <c r="I3" s="280" t="n"/>
      <c r="J3" s="280" t="n"/>
      <c r="K3" s="280" t="n"/>
      <c r="L3" s="281" t="n"/>
    </row>
    <row r="4">
      <c r="A4" s="282" t="n"/>
      <c r="B4" s="281" t="n"/>
      <c r="C4" s="33" t="n"/>
      <c r="D4" s="33" t="inlineStr">
        <is>
          <t>非单元</t>
        </is>
      </c>
      <c r="E4" s="212" t="inlineStr">
        <is>
          <t>单元</t>
        </is>
      </c>
      <c r="F4" s="283" t="n"/>
      <c r="G4" s="212" t="inlineStr">
        <is>
          <t>A1-A3</t>
        </is>
      </c>
      <c r="H4" s="212" t="inlineStr">
        <is>
          <t>A4-A6</t>
        </is>
      </c>
      <c r="I4" s="212" t="inlineStr">
        <is>
          <t>P1-P6</t>
        </is>
      </c>
      <c r="J4" s="212" t="inlineStr">
        <is>
          <t>A7-A9</t>
        </is>
      </c>
      <c r="K4" s="212" t="inlineStr">
        <is>
          <t>M1-M3</t>
        </is>
      </c>
      <c r="L4" s="212" t="inlineStr">
        <is>
          <t>特殊人才</t>
        </is>
      </c>
    </row>
    <row r="5">
      <c r="A5" s="34" t="inlineStr">
        <is>
          <t>AI能力</t>
        </is>
      </c>
      <c r="B5" s="35" t="inlineStr">
        <is>
          <t>AI能力(8%)</t>
        </is>
      </c>
      <c r="C5" s="195" t="inlineStr">
        <is>
          <t>/</t>
        </is>
      </c>
      <c r="D5" s="284" t="n">
        <v>0.5</v>
      </c>
      <c r="E5" s="285" t="n">
        <v>0.5</v>
      </c>
      <c r="F5" s="35" t="n">
        <v>0</v>
      </c>
      <c r="G5" s="286" t="inlineStr">
        <is>
          <t>≥80</t>
        </is>
      </c>
      <c r="H5" s="287" t="n"/>
      <c r="I5" s="287" t="n"/>
      <c r="J5" s="287" t="n"/>
      <c r="K5" s="288" t="n"/>
      <c r="L5" s="37" t="n"/>
    </row>
    <row r="6">
      <c r="A6" s="196" t="inlineStr">
        <is>
          <t>底色</t>
        </is>
      </c>
      <c r="B6" s="35" t="inlineStr">
        <is>
          <t>兴趣（15%）</t>
        </is>
      </c>
      <c r="C6" s="38" t="inlineStr">
        <is>
          <t>/</t>
        </is>
      </c>
      <c r="D6" s="289" t="n"/>
      <c r="E6" s="290" t="n"/>
      <c r="F6" s="39" t="n">
        <v>0</v>
      </c>
      <c r="G6" s="291" t="inlineStr">
        <is>
          <t>≥80</t>
        </is>
      </c>
      <c r="H6" s="244" t="n"/>
      <c r="I6" s="244" t="n"/>
      <c r="J6" s="244" t="n"/>
      <c r="K6" s="245" t="n"/>
      <c r="L6" s="40" t="n"/>
    </row>
    <row r="7">
      <c r="A7" s="290" t="n"/>
      <c r="B7" s="35" t="inlineStr">
        <is>
          <t>狼性（15%）</t>
        </is>
      </c>
      <c r="C7" s="38" t="inlineStr">
        <is>
          <t>主动侵略性（5%）</t>
        </is>
      </c>
      <c r="D7" s="289" t="n"/>
      <c r="E7" s="290" t="n"/>
      <c r="F7" s="39" t="n"/>
      <c r="G7" s="291" t="inlineStr">
        <is>
          <t>≥80</t>
        </is>
      </c>
      <c r="H7" s="260" t="n"/>
      <c r="I7" s="260" t="n"/>
      <c r="J7" s="260" t="n"/>
      <c r="K7" s="261" t="n"/>
      <c r="L7" s="40" t="n"/>
    </row>
    <row r="8">
      <c r="A8" s="290" t="n"/>
      <c r="B8" s="292" t="n"/>
      <c r="C8" s="38" t="inlineStr">
        <is>
          <t>目标刚性（5%）</t>
        </is>
      </c>
      <c r="D8" s="289" t="n"/>
      <c r="E8" s="290" t="n"/>
      <c r="F8" s="39" t="n"/>
      <c r="G8" s="271" t="n"/>
      <c r="K8" s="272" t="n"/>
      <c r="L8" s="40" t="n"/>
    </row>
    <row r="9">
      <c r="A9" s="290" t="n"/>
      <c r="B9" s="283" t="n"/>
      <c r="C9" s="38" t="inlineStr">
        <is>
          <t>结果闭环（5%）</t>
        </is>
      </c>
      <c r="D9" s="289" t="n"/>
      <c r="E9" s="290" t="n"/>
      <c r="F9" s="39" t="n">
        <v>0</v>
      </c>
      <c r="G9" s="274" t="n"/>
      <c r="H9" s="246" t="n"/>
      <c r="I9" s="246" t="n"/>
      <c r="J9" s="246" t="n"/>
      <c r="K9" s="247" t="n"/>
      <c r="L9" s="40" t="n"/>
    </row>
    <row r="10">
      <c r="A10" s="290" t="n"/>
      <c r="B10" s="201" t="inlineStr">
        <is>
          <t>情商（12%）</t>
        </is>
      </c>
      <c r="C10" s="38" t="inlineStr">
        <is>
          <t>信任构建能力（4%）</t>
        </is>
      </c>
      <c r="D10" s="289" t="n"/>
      <c r="E10" s="290" t="n"/>
      <c r="F10" s="39" t="n"/>
      <c r="G10" s="291" t="inlineStr">
        <is>
          <t>≥80</t>
        </is>
      </c>
      <c r="H10" s="260" t="n"/>
      <c r="I10" s="260" t="n"/>
      <c r="J10" s="260" t="n"/>
      <c r="K10" s="261" t="n"/>
      <c r="L10" s="40" t="n"/>
    </row>
    <row r="11">
      <c r="A11" s="290" t="n"/>
      <c r="B11" s="292" t="n"/>
      <c r="C11" s="38" t="inlineStr">
        <is>
          <t>人性洞察能力（4%）</t>
        </is>
      </c>
      <c r="D11" s="289" t="n"/>
      <c r="E11" s="290" t="n"/>
      <c r="F11" s="39" t="n"/>
      <c r="G11" s="271" t="n"/>
      <c r="K11" s="272" t="n"/>
      <c r="L11" s="40" t="n"/>
    </row>
    <row r="12">
      <c r="A12" s="293" t="n"/>
      <c r="B12" s="283" t="n"/>
      <c r="C12" s="38" t="inlineStr">
        <is>
          <t>长期价值绑定（4%）</t>
        </is>
      </c>
      <c r="D12" s="294" t="n"/>
      <c r="E12" s="295" t="n"/>
      <c r="F12" s="39" t="n">
        <v>0</v>
      </c>
      <c r="G12" s="274" t="n"/>
      <c r="H12" s="246" t="n"/>
      <c r="I12" s="246" t="n"/>
      <c r="J12" s="246" t="n"/>
      <c r="K12" s="247" t="n"/>
      <c r="L12" s="40" t="n"/>
    </row>
    <row r="13">
      <c r="A13" s="198" t="inlineStr">
        <is>
          <t>岗位三板斧</t>
        </is>
      </c>
      <c r="B13" s="35" t="inlineStr">
        <is>
          <t>搞成铁杆（30%）</t>
        </is>
      </c>
      <c r="C13" s="207" t="inlineStr">
        <is>
          <t>搞成铁杆能力（15%）</t>
        </is>
      </c>
      <c r="D13" s="205" t="n">
        <v>0.5</v>
      </c>
      <c r="E13" s="42" t="n">
        <v>0.04</v>
      </c>
      <c r="F13" s="35" t="n">
        <v>0</v>
      </c>
      <c r="G13" s="215" t="n"/>
      <c r="H13" s="216" t="inlineStr">
        <is>
          <t>≥60</t>
        </is>
      </c>
      <c r="I13" s="216" t="inlineStr">
        <is>
          <t>≥70</t>
        </is>
      </c>
      <c r="J13" s="216" t="inlineStr">
        <is>
          <t>≥80</t>
        </is>
      </c>
      <c r="K13" s="216" t="inlineStr">
        <is>
          <t>≥90</t>
        </is>
      </c>
      <c r="L13" s="217" t="inlineStr">
        <is>
          <t>≥80</t>
        </is>
      </c>
    </row>
    <row r="14">
      <c r="A14" s="292" t="n"/>
      <c r="B14" s="292" t="n"/>
      <c r="C14" s="207" t="inlineStr">
        <is>
          <t>铁杆数量（6%）</t>
        </is>
      </c>
      <c r="D14" s="278" t="n"/>
      <c r="E14" s="42" t="n">
        <v>0.03</v>
      </c>
      <c r="F14" s="35" t="n"/>
      <c r="G14" s="279" t="n"/>
      <c r="H14" s="263" t="n"/>
      <c r="I14" s="263" t="n"/>
      <c r="J14" s="263" t="n"/>
      <c r="K14" s="263" t="n"/>
      <c r="L14" s="263" t="n"/>
    </row>
    <row r="15">
      <c r="A15" s="292" t="n"/>
      <c r="B15" s="283" t="n"/>
      <c r="C15" s="207" t="inlineStr">
        <is>
          <t>铁杆质量（9%）</t>
        </is>
      </c>
      <c r="D15" s="278" t="n"/>
      <c r="E15" s="42" t="n">
        <v>0.03</v>
      </c>
      <c r="F15" s="35" t="n"/>
      <c r="G15" s="282" t="n"/>
      <c r="H15" s="264" t="n"/>
      <c r="I15" s="264" t="n"/>
      <c r="J15" s="264" t="n"/>
      <c r="K15" s="264" t="n"/>
      <c r="L15" s="264" t="n"/>
    </row>
    <row r="16">
      <c r="A16" s="292" t="n"/>
      <c r="B16" s="35" t="inlineStr">
        <is>
          <t>情报收集（10%）</t>
        </is>
      </c>
      <c r="C16" s="207" t="inlineStr">
        <is>
          <t>信息来源（5%）</t>
        </is>
      </c>
      <c r="D16" s="278" t="n"/>
      <c r="E16" s="42" t="n">
        <v>0.02</v>
      </c>
      <c r="F16" s="35" t="n">
        <v>0</v>
      </c>
      <c r="G16" s="43" t="n"/>
      <c r="H16" s="43" t="n"/>
      <c r="I16" s="43" t="n"/>
      <c r="J16" s="43" t="n"/>
      <c r="K16" s="43" t="n"/>
      <c r="L16" s="43" t="n"/>
    </row>
    <row r="17">
      <c r="A17" s="292" t="n"/>
      <c r="B17" s="292" t="n"/>
      <c r="C17" s="207" t="inlineStr">
        <is>
          <t>信息收集和整理能力（2%）</t>
        </is>
      </c>
      <c r="D17" s="278" t="n"/>
      <c r="E17" s="42" t="n">
        <v>0.01</v>
      </c>
      <c r="F17" s="35" t="n"/>
      <c r="G17" s="43" t="n"/>
      <c r="H17" s="43" t="n"/>
      <c r="I17" s="43" t="n"/>
      <c r="J17" s="43" t="n"/>
      <c r="K17" s="43" t="n"/>
      <c r="L17" s="43" t="n"/>
    </row>
    <row r="18">
      <c r="A18" s="292" t="n"/>
      <c r="B18" s="283" t="n"/>
      <c r="C18" s="207" t="inlineStr">
        <is>
          <t>情报质量（3%）</t>
        </is>
      </c>
      <c r="D18" s="278" t="n"/>
      <c r="E18" s="42" t="n">
        <v>0.02</v>
      </c>
      <c r="F18" s="35" t="n"/>
      <c r="G18" s="43" t="n"/>
      <c r="H18" s="43" t="n"/>
      <c r="I18" s="43" t="n"/>
      <c r="J18" s="43" t="n"/>
      <c r="K18" s="43" t="n"/>
      <c r="L18" s="43" t="n"/>
    </row>
    <row r="19">
      <c r="A19" s="292" t="n"/>
      <c r="B19" s="35" t="inlineStr">
        <is>
          <t>专业知识（10%）</t>
        </is>
      </c>
      <c r="C19" s="207" t="inlineStr">
        <is>
          <t>产品知识（3%）</t>
        </is>
      </c>
      <c r="D19" s="278" t="n"/>
      <c r="E19" s="42" t="n">
        <v>0.02</v>
      </c>
      <c r="F19" s="35" t="n"/>
      <c r="G19" s="43" t="n"/>
      <c r="H19" s="43" t="n"/>
      <c r="I19" s="43" t="n"/>
      <c r="J19" s="43" t="n"/>
      <c r="K19" s="43" t="n"/>
      <c r="L19" s="43" t="n"/>
    </row>
    <row r="20">
      <c r="A20" s="292" t="n"/>
      <c r="B20" s="292" t="n"/>
      <c r="C20" s="207" t="inlineStr">
        <is>
          <t>行业知识（3%）</t>
        </is>
      </c>
      <c r="D20" s="278" t="n"/>
      <c r="E20" s="42" t="n">
        <v>0.01</v>
      </c>
      <c r="F20" s="35" t="n"/>
      <c r="G20" s="43" t="n"/>
      <c r="H20" s="43" t="n"/>
      <c r="I20" s="43" t="n"/>
      <c r="J20" s="43" t="n"/>
      <c r="K20" s="43" t="n"/>
      <c r="L20" s="43" t="n"/>
    </row>
    <row r="21">
      <c r="A21" s="283" t="n"/>
      <c r="B21" s="283" t="n"/>
      <c r="C21" s="207" t="inlineStr">
        <is>
          <t>输出质量（4%）</t>
        </is>
      </c>
      <c r="D21" s="278" t="n"/>
      <c r="E21" s="42" t="n">
        <v>0.02</v>
      </c>
      <c r="F21" s="35" t="n">
        <v>0</v>
      </c>
      <c r="G21" s="43" t="n"/>
      <c r="H21" s="43" t="n"/>
      <c r="I21" s="43" t="n"/>
      <c r="J21" s="43" t="n"/>
      <c r="K21" s="43" t="n"/>
      <c r="L21" s="43" t="n"/>
    </row>
    <row r="22">
      <c r="A22" s="198" t="inlineStr">
        <is>
          <t>单元三板斧</t>
        </is>
      </c>
      <c r="B22" s="35" t="inlineStr">
        <is>
          <t>画施工图(10%)</t>
        </is>
      </c>
      <c r="C22" s="207" t="n"/>
      <c r="D22" s="207" t="inlineStr">
        <is>
          <t>/</t>
        </is>
      </c>
      <c r="E22" s="211" t="n">
        <v>0.3</v>
      </c>
      <c r="F22" s="35" t="n">
        <v>0</v>
      </c>
      <c r="G22" s="44" t="n"/>
      <c r="H22" s="44" t="n"/>
      <c r="I22" s="44" t="n"/>
      <c r="J22" s="43" t="n"/>
      <c r="K22" s="43" t="n"/>
      <c r="L22" s="43" t="n"/>
    </row>
    <row r="23">
      <c r="A23" s="292" t="n"/>
      <c r="B23" s="35" t="inlineStr">
        <is>
          <t>选好骨干(10%)</t>
        </is>
      </c>
      <c r="C23" s="207" t="n"/>
      <c r="D23" s="278" t="n"/>
      <c r="E23" s="292" t="n"/>
      <c r="F23" s="35" t="n">
        <v>0</v>
      </c>
      <c r="G23" s="44" t="n"/>
      <c r="H23" s="44" t="n"/>
      <c r="I23" s="44" t="n"/>
      <c r="J23" s="45" t="inlineStr">
        <is>
          <t>≥80</t>
        </is>
      </c>
      <c r="K23" s="45" t="inlineStr">
        <is>
          <t>≥90</t>
        </is>
      </c>
      <c r="L23" s="45" t="n"/>
    </row>
    <row r="24">
      <c r="A24" s="283" t="n"/>
      <c r="B24" s="35" t="inlineStr">
        <is>
          <t>提高人效(10%)</t>
        </is>
      </c>
      <c r="C24" s="207" t="n"/>
      <c r="D24" s="278" t="n"/>
      <c r="E24" s="292" t="n"/>
      <c r="F24" s="35" t="n">
        <v>0</v>
      </c>
      <c r="G24" s="46" t="n"/>
      <c r="H24" s="46" t="n"/>
      <c r="I24" s="46" t="n"/>
      <c r="J24" s="43" t="n"/>
      <c r="K24" s="47" t="n"/>
      <c r="L24" s="47" t="n"/>
    </row>
    <row r="25">
      <c r="A25" s="213" t="inlineStr">
        <is>
          <t>结论</t>
        </is>
      </c>
      <c r="B25" s="296" t="n"/>
      <c r="C25" s="297" t="n"/>
      <c r="D25" s="194" t="inlineStr">
        <is>
          <t>A+</t>
        </is>
      </c>
      <c r="E25" s="298" t="n"/>
      <c r="F25" s="213" t="n">
        <v>0</v>
      </c>
      <c r="G25" s="35" t="inlineStr">
        <is>
          <t>底色+AI≥90</t>
        </is>
      </c>
      <c r="H25" s="35" t="inlineStr">
        <is>
          <t>≥80</t>
        </is>
      </c>
      <c r="I25" s="35" t="inlineStr">
        <is>
          <t>≥85</t>
        </is>
      </c>
      <c r="J25" s="35" t="inlineStr">
        <is>
          <t>≥85</t>
        </is>
      </c>
      <c r="K25" s="35" t="inlineStr">
        <is>
          <t>≥85</t>
        </is>
      </c>
      <c r="L25" s="35" t="inlineStr">
        <is>
          <t>搞成铁杆≥90</t>
        </is>
      </c>
    </row>
    <row r="26">
      <c r="A26" s="279" t="n"/>
      <c r="C26" s="278" t="n"/>
      <c r="D26" s="194" t="inlineStr">
        <is>
          <t>A</t>
        </is>
      </c>
      <c r="E26" s="298" t="n"/>
      <c r="F26" s="292" t="n"/>
      <c r="G26" s="35" t="inlineStr">
        <is>
          <t>底色+AI≥85</t>
        </is>
      </c>
      <c r="H26" s="35" t="inlineStr">
        <is>
          <t>≥75</t>
        </is>
      </c>
      <c r="I26" s="35" t="inlineStr">
        <is>
          <t>≥80</t>
        </is>
      </c>
      <c r="J26" s="35" t="inlineStr">
        <is>
          <t>≥80</t>
        </is>
      </c>
      <c r="K26" s="35" t="inlineStr">
        <is>
          <t>≥83</t>
        </is>
      </c>
      <c r="L26" s="35" t="inlineStr">
        <is>
          <t>搞成铁杆≥85</t>
        </is>
      </c>
    </row>
    <row r="27">
      <c r="A27" s="279" t="n"/>
      <c r="C27" s="278" t="n"/>
      <c r="D27" s="194" t="inlineStr">
        <is>
          <t>B</t>
        </is>
      </c>
      <c r="E27" s="298" t="n"/>
      <c r="F27" s="292" t="n"/>
      <c r="G27" s="35" t="inlineStr">
        <is>
          <t>底色+AI≥80</t>
        </is>
      </c>
      <c r="H27" s="35" t="inlineStr">
        <is>
          <t>≥70</t>
        </is>
      </c>
      <c r="I27" s="35" t="inlineStr">
        <is>
          <t>≥75</t>
        </is>
      </c>
      <c r="J27" s="35" t="inlineStr">
        <is>
          <t>≥77</t>
        </is>
      </c>
      <c r="K27" s="35" t="inlineStr">
        <is>
          <t>≥80</t>
        </is>
      </c>
      <c r="L27" s="35" t="inlineStr">
        <is>
          <t>搞成铁杆≥80</t>
        </is>
      </c>
    </row>
    <row r="28">
      <c r="A28" s="282" t="n"/>
      <c r="B28" s="280" t="n"/>
      <c r="C28" s="281" t="n"/>
      <c r="D28" s="195" t="inlineStr">
        <is>
          <t>C/D(淘汰)</t>
        </is>
      </c>
      <c r="E28" s="298" t="n"/>
      <c r="F28" s="283" t="n"/>
      <c r="G28" s="35" t="inlineStr">
        <is>
          <t>底色+AI&lt;80</t>
        </is>
      </c>
      <c r="H28" s="35" t="inlineStr">
        <is>
          <t>&lt;70</t>
        </is>
      </c>
      <c r="I28" s="35" t="inlineStr">
        <is>
          <t>&lt;75</t>
        </is>
      </c>
      <c r="J28" s="35" t="inlineStr">
        <is>
          <t>&lt;77</t>
        </is>
      </c>
      <c r="K28" s="35" t="inlineStr">
        <is>
          <t>&lt;80</t>
        </is>
      </c>
      <c r="L28" s="35" t="inlineStr">
        <is>
          <t>&lt;80</t>
        </is>
      </c>
    </row>
  </sheetData>
  <mergeCells count="34">
    <mergeCell ref="D5:D12"/>
    <mergeCell ref="F25:F28"/>
    <mergeCell ref="F3:F4"/>
    <mergeCell ref="K13:K15"/>
    <mergeCell ref="H13:H15"/>
    <mergeCell ref="A22:A24"/>
    <mergeCell ref="E22:E24"/>
    <mergeCell ref="I13:I15"/>
    <mergeCell ref="D13:D21"/>
    <mergeCell ref="G2:L3"/>
    <mergeCell ref="D27:E27"/>
    <mergeCell ref="B7:B9"/>
    <mergeCell ref="E5:E12"/>
    <mergeCell ref="G10:K12"/>
    <mergeCell ref="B16:B18"/>
    <mergeCell ref="G6:K6"/>
    <mergeCell ref="G7:K9"/>
    <mergeCell ref="A13:A21"/>
    <mergeCell ref="D22:D24"/>
    <mergeCell ref="A25:C28"/>
    <mergeCell ref="J13:J15"/>
    <mergeCell ref="L13:L15"/>
    <mergeCell ref="D28:E28"/>
    <mergeCell ref="G13:G15"/>
    <mergeCell ref="G5:K5"/>
    <mergeCell ref="D25:E25"/>
    <mergeCell ref="A2:B4"/>
    <mergeCell ref="B10:B12"/>
    <mergeCell ref="D2:E3"/>
    <mergeCell ref="B13:B15"/>
    <mergeCell ref="A1:L1"/>
    <mergeCell ref="A6:A12"/>
    <mergeCell ref="B19:B21"/>
    <mergeCell ref="D26:E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D7" sqref="D7"/>
    </sheetView>
  </sheetViews>
  <sheetFormatPr baseColWidth="8" defaultColWidth="9.109375" defaultRowHeight="13.8"/>
  <cols>
    <col width="21" customWidth="1" min="2" max="2"/>
    <col width="17.6640625" customWidth="1" min="3" max="3"/>
    <col width="18.109375" customWidth="1" min="4" max="4"/>
    <col width="15.6640625" customWidth="1" min="5" max="5"/>
    <col width="14.88671875" customWidth="1" min="6" max="6"/>
    <col width="15.6640625" customWidth="1" min="7" max="7"/>
    <col width="16.21875" customWidth="1" min="8" max="8"/>
    <col width="32.88671875" customWidth="1" min="9" max="9"/>
    <col width="19" customWidth="1" min="10" max="10"/>
    <col width="24.5546875" customWidth="1" min="11" max="11"/>
    <col width="15.44140625" customWidth="1" min="12" max="12"/>
    <col width="15.88671875" customWidth="1" min="13" max="13"/>
    <col width="23.33203125" customWidth="1" min="14" max="14"/>
  </cols>
  <sheetData>
    <row r="1">
      <c r="A1" s="239" t="inlineStr">
        <is>
          <t>项目</t>
        </is>
      </c>
      <c r="B1" s="239" t="inlineStr">
        <is>
          <t>兴趣</t>
        </is>
      </c>
      <c r="C1" s="239" t="inlineStr">
        <is>
          <t>情商</t>
        </is>
      </c>
      <c r="D1" s="299" t="n"/>
      <c r="E1" s="298" t="n"/>
      <c r="F1" s="240" t="inlineStr">
        <is>
          <t>狼性</t>
        </is>
      </c>
      <c r="G1" s="299" t="n"/>
      <c r="H1" s="299" t="n"/>
      <c r="I1" s="239" t="inlineStr">
        <is>
          <t>AI能力</t>
        </is>
      </c>
      <c r="J1" s="12" t="n"/>
      <c r="K1" s="12" t="n"/>
      <c r="L1" s="13" t="n"/>
      <c r="M1" s="13" t="n"/>
      <c r="N1" s="13" t="n"/>
    </row>
    <row r="2">
      <c r="A2" s="283" t="n"/>
      <c r="B2" s="283" t="n"/>
      <c r="C2" s="239" t="inlineStr">
        <is>
          <t>信任构建能力</t>
        </is>
      </c>
      <c r="D2" s="239" t="inlineStr">
        <is>
          <t>人性洞察能力</t>
        </is>
      </c>
      <c r="E2" s="239" t="inlineStr">
        <is>
          <t>长期价值绑定</t>
        </is>
      </c>
      <c r="F2" s="239" t="inlineStr">
        <is>
          <t>主动侵略性</t>
        </is>
      </c>
      <c r="G2" s="239" t="inlineStr">
        <is>
          <t>目标刚性</t>
        </is>
      </c>
      <c r="H2" s="240" t="inlineStr">
        <is>
          <t>结果闭环</t>
        </is>
      </c>
      <c r="I2" s="283" t="n"/>
      <c r="J2" s="12" t="n"/>
      <c r="K2" s="12" t="n"/>
      <c r="L2" s="13" t="n"/>
      <c r="M2" s="13" t="n"/>
      <c r="N2" s="13" t="n"/>
    </row>
    <row r="3" ht="259.95" customHeight="1">
      <c r="A3" s="14" t="inlineStr">
        <is>
          <t>底色</t>
        </is>
      </c>
      <c r="B3" s="15" t="inlineStr">
        <is>
          <t>90–100：有极强内驱力与成就感，发自内心热爱，无需督促就能持续攻坚，抗压性与斗志极强
80–89：有稳定热情，愿意主动投入时间精力，遇到困难能主动想办法突破
0：认可，能按要求完成任务，愿意学习提升；面对常规挑战可以应对，但攻坚高难度项目、长期攻坚时动力偏弱
0：兴趣一般，以被动执行为主，缺乏主动开拓意识；不愿深度思考，遇到压力和拒绝容易退缩
0：无兴趣、无动力，完全靠外部驱动</t>
        </is>
      </c>
      <c r="C3" s="15" t="inlineStr">
        <is>
          <t>40：信任拉满，他人愿为你背书、担保、代成交
35：高度信赖，非你不合作、只认你
30：可托付关键信息，决策优先听你
25：表面友好，内心保留
≤20：难以建立真实信任</t>
        </is>
      </c>
      <c r="D3" s="15" t="inlineStr">
        <is>
          <t>30：不开口即懂动机、底线、真实利益
27：秒懂潜台词，预判行为
24：准确识别立场、情绪、需求
21：正常沟通，不误解
≤18：读不懂人，频繁踩雷</t>
        </is>
      </c>
      <c r="E3" s="15" t="inlineStr">
        <is>
          <t>30：成为铁杆盟友，长期不可替代
27：越合作越强绑定
24：稳定维护，无内耗
21：普通往来，不升温
≤18：压力下关系即断裂</t>
        </is>
      </c>
      <c r="F3" s="15" t="inlineStr">
        <is>
          <t>40：无指令、无资源也能主动破局创结果
35：主动抢机会、抢目标、抢进展
30：积极推进，不等不靠
25：安排才动，能执行
≤20：被动、等靠要、躺平</t>
        </is>
      </c>
      <c r="G3" s="15" t="inlineStr">
        <is>
          <t>30：目标必达，死磕到底零借口
27：重压下必完成，不放弃
24：稳定达标
21：勉强完成
≤18：频繁完不成，找理由</t>
        </is>
      </c>
      <c r="H3" s="15" t="inlineStr">
        <is>
          <t>30：凡事闭环，事事有最终结果
27：主动反馈，有头有尾
24：能闭环，不甩锅
21：需多次催促才收尾
≤18：烂尾、推诿、无交代</t>
        </is>
      </c>
      <c r="I3" s="16" t="inlineStr">
        <is>
          <t>90–100：主动拥抱AI，精通各类工具，高效挖掘线索、智能复盘、优化话术；显著提升全流程转化率，人效远超同行；持续学习前沿AI，积极带动团队，引领AI驱动销售文化
80-89：认可AI价值，熟练使用核心工具辅助线索、复盘、话术；效率提升明显，关注AI新应用，主动分享经验
0：被动使用AI，掌握基础功能；能完成简单任务但深度不够，效率提升不明显；不排斥学习但主动性弱，分享少
0：尝试使用AI但不得法，效果差甚至降低效率；偶有抵触情绪，学习意愿低，未带来实际效益
0：拒绝使用AI，否定其价值；固守旧方法，效率低下；抵制学习，躺平摆烂，阻碍团队数字化进程</t>
        </is>
      </c>
      <c r="J3" s="17" t="n"/>
      <c r="K3" s="17" t="n"/>
      <c r="L3" s="13" t="n"/>
      <c r="M3" s="13" t="n"/>
      <c r="N3" s="13" t="n"/>
    </row>
    <row r="4">
      <c r="A4" s="242" t="inlineStr">
        <is>
          <t>项目</t>
        </is>
      </c>
      <c r="B4" s="242" t="n"/>
      <c r="C4" s="242" t="n"/>
      <c r="D4" s="242" t="n"/>
      <c r="E4" s="242" t="n"/>
      <c r="F4" s="239" t="inlineStr">
        <is>
          <t>第一板斧（搞成铁杆）</t>
        </is>
      </c>
      <c r="G4" s="299" t="n"/>
      <c r="H4" s="298" t="n"/>
      <c r="I4" s="240" t="inlineStr">
        <is>
          <t>第二板斧（情报收集）</t>
        </is>
      </c>
      <c r="J4" s="299" t="n"/>
      <c r="K4" s="299" t="n"/>
      <c r="L4" s="239" t="inlineStr">
        <is>
          <t>第三板斧（专业知识）</t>
        </is>
      </c>
      <c r="M4" s="299" t="n"/>
      <c r="N4" s="298" t="n"/>
    </row>
    <row r="5">
      <c r="A5" s="279" t="n"/>
      <c r="B5" s="19" t="n"/>
      <c r="C5" s="19" t="n"/>
      <c r="D5" s="19" t="n"/>
      <c r="E5" s="19" t="n"/>
      <c r="F5" s="19" t="inlineStr">
        <is>
          <t>搞成铁杆能力（50）</t>
        </is>
      </c>
      <c r="G5" s="239" t="inlineStr">
        <is>
          <t>铁杆数量（20）</t>
        </is>
      </c>
      <c r="H5" s="239" t="inlineStr">
        <is>
          <t>铁杆质量（30）</t>
        </is>
      </c>
      <c r="I5" s="239" t="inlineStr">
        <is>
          <t>信息来源（50）</t>
        </is>
      </c>
      <c r="J5" s="239" t="inlineStr">
        <is>
          <t>信息收集和整理能力（20）</t>
        </is>
      </c>
      <c r="K5" s="240" t="inlineStr">
        <is>
          <t>情报质量（30）</t>
        </is>
      </c>
      <c r="L5" s="239" t="inlineStr">
        <is>
          <t>产品知识（30）</t>
        </is>
      </c>
      <c r="M5" s="239" t="inlineStr">
        <is>
          <t>行业知识（30）</t>
        </is>
      </c>
      <c r="N5" s="239" t="inlineStr">
        <is>
          <t>输出质量（40）</t>
        </is>
      </c>
    </row>
    <row r="6">
      <c r="A6" s="279" t="n"/>
      <c r="B6" s="239" t="inlineStr">
        <is>
          <t>可靠度（40）</t>
        </is>
      </c>
      <c r="C6" s="239" t="inlineStr">
        <is>
          <t>专业度（30）</t>
        </is>
      </c>
      <c r="D6" s="239" t="inlineStr">
        <is>
          <t>亲密度（30）</t>
        </is>
      </c>
      <c r="E6" s="239" t="inlineStr">
        <is>
          <t>自我导向（扣分项）</t>
        </is>
      </c>
      <c r="F6" s="239" t="inlineStr">
        <is>
          <t>综合</t>
        </is>
      </c>
      <c r="G6" s="283" t="n"/>
      <c r="H6" s="283" t="n"/>
      <c r="I6" s="283" t="n"/>
      <c r="J6" s="283" t="n"/>
      <c r="K6" s="282" t="n"/>
      <c r="L6" s="283" t="n"/>
      <c r="M6" s="283" t="n"/>
      <c r="N6" s="283" t="n"/>
    </row>
    <row r="7" ht="353.4" customHeight="1">
      <c r="A7" s="20" t="inlineStr">
        <is>
          <t>岗位三板斧</t>
        </is>
      </c>
      <c r="B7" s="21" t="inlineStr">
        <is>
          <t>32–40：凡事必闭环，事事有回音，件件有着落；
24–32：承诺必兑现，小事不敷衍；
16–24：基本能做到，但偶尔拖延；
8–16：经常忘事、不主动同步；
0–8：不靠谱、甩锅、失联</t>
        </is>
      </c>
      <c r="C7" s="21" t="inlineStr">
        <is>
          <t>24–30：懂行业、懂产品、懂场景，能给方案建议
18–24：表达专业，不装懂、不瞎承诺
12–18：基础专业没问题，缺乏深度
6–12：一知半解，容易露怯
0–6：不懂装懂，频繁出错</t>
        </is>
      </c>
      <c r="D7" s="21" t="inlineStr">
        <is>
          <t>24–30：让人舒服、放松、愿意交心
18–24：会换位思考，能共情、能解决情绪
12–18：相处正常，不尴尬也不亲近
6–12：话题生硬，只谈工作
0–6：让人有压力、不舒服</t>
        </is>
      </c>
      <c r="E7" s="21" t="inlineStr">
        <is>
          <t>0：利他优先，先为对方着想
&gt;-10：正常，有来有往
≤-10：自我中心，急于索取、算计</t>
        </is>
      </c>
      <c r="F7" s="21" t="inlineStr">
        <is>
          <t>100 ：真铁杆（无条件信任）
90 ：相对信任
80 ：初步信任
70 ：关系破冰
60 ：良好印象
50 ：初识对接
40 ：浅层接触
30 ：被动建联
20 ：无有效互动
0 ：无认知关联</t>
        </is>
      </c>
      <c r="G7" s="16" t="inlineStr">
        <is>
          <t>100：10名以上
90：8-10名
80：6-7名
70：4-5名
60：3名
50：2名
40：1名
30：0名（有潜在对接对象）
20：0名（无有效触达）
10：0名（仅知晓信息）
0：0名（无任何认知）</t>
        </is>
      </c>
      <c r="H7" s="16" t="inlineStr">
        <is>
          <t>单个铁杆带来的收入
100 ：≥500 万
90 ：≥300 万
80 ：≥200 万
70 ：≥150 万
60 ：≥100 万
50 ：50-100 万
40 ：30-50 万
30 ：10-30 万
20 ：0-10 万
10 ：无实际业绩（有价值对接）
0 ：0 万</t>
        </is>
      </c>
      <c r="I7" s="16" t="inlineStr">
        <is>
          <t>100：有铁杆线人
90：形成线人体系，交叉验证
80：有稳定的决策层线人
70：有稳定的基层线人
60：有线人，非道听途说和脑补
50：线人关系不稳定，信息获取偶发，不能保证持续输出
40：开始培养线人，有线人苗子，但尚未建立稳定信息渠道
30：无线人，但开始有意识识别潜在线人，记录观察对象
20：无线人，仅靠公开信息，但对信息来源有基本判断
10：无线人，信息主要靠道听途说，无法验证真实性
0：无线人，对信息来源毫无概念，信息全靠脑补</t>
        </is>
      </c>
      <c r="J7" s="16" t="inlineStr">
        <is>
          <t>100：构建情报网络，驱动决策
90：多源验证，系统化整理
80：主动挖掘，类归档
70：记录留存，初步归类
60：有整理意识
50：有记录习惯，但信息零散，无类归档，查找困难
40：偶尔记录，但不成体系，信息丢失严重
30：意识到需要记录，但尚未养成习惯，主要靠记忆
20：很少记录，信息主要靠脑补，遗忘率高
10：几乎不记录，信息零散混乱，无法追溯
0：无整理意识，对过往信息完全不记录</t>
        </is>
      </c>
      <c r="K7" s="22" t="inlineStr">
        <is>
          <t>100：高质量情报驱动战略决策，持续赢单并预判市场先机
90：全面了解项目底牌信息，确保项目赢单
80：掌握真实的关键客户的背后诉求以及立场
70：掌握真实的项目情报——项目人财物，项目本身（项目规模、项目决策链、项目参与方、项目决策人）用户、伙伴、教练
60：掌握真实的责任田情报——责任田政策、责任田内外部格局信息、责任田客户（客户组织架构、关键决策人及关键人圈子、围绕客户的伙伴格局及伙伴关系链条、竞争对手格局及对手关系链条）、责任田伙伴（ISV、SI、上下游）、责任田教练、责任田圈子情报
50：掌握部责任田情报，但有明显缺项，不够完整
40：掌握零散情报，能够拼凑出初步的责任田画像，但不够准确
30：情报多为表面信息，深度不够，无法支撑关键决策
20：情报零散模糊，真假难辨，对打单帮助有限
10：情报基本靠猜，与实际情况偏差较大
0：无情报或情报虚假，误导决策</t>
        </is>
      </c>
      <c r="L7" s="16" t="inlineStr">
        <is>
          <t>100：精通竞争析和招投标
90：精通产品特性和核心技术
80；掌握公司自主产品案例集
70：掌握公司介绍、产品介绍
60：掌握专业术语、信创产业
50：了解公司产品线名称和基本用途，但细节模糊，无法深入讲解
40：听说过公司主要产品，但不清楚具体功能和差异
30：知道公司是做数据库的，对产品几乎没有认知
20：只知道公司名称，产品知识几乎空白
10：对自家产品几乎没有概念，无法说出任何产品信息
0：完全不了解自家产品</t>
        </is>
      </c>
      <c r="M7" s="16" t="inlineStr">
        <is>
          <t>100：深入行业背后资源及圈子
90：全面掌握行业应用系统和场景
80：清晰行业政策和惯例
70：掌握行业客户、主要玩家和格局情况
60：初步了解行业概念
50：知道一些行业术语，但不理解内涵，无法与业务关联
40：听说过几个行业名称，但不知其业务模式和痛点
30：对行业类模糊，无法区不同行业的差异
20：几乎不了解任何行业，对客户业务毫无概念
10：很少关注行业，无法说出任何行业信息
0：完全不了解行业</t>
        </is>
      </c>
      <c r="N7" s="16" t="inlineStr">
        <is>
          <t>100：能独立辅导客户完成招投标全流程，主导项目关键进程
90：掌握方案构建能力，能根据客户需求独立撰写完整的定制化解决方案
80：能基于标准素材为客户快速提供匹配需求的定制化材料
70：具备独立宣讲能力，能灵活运用素材进行场景化演讲，无需售前人员辅助
60：具备基础讲解能力，能准确、流畅地输出产品与行业基础知识
50：能复述标准材料，但讲解缺乏感染力，遇到提问容易卡顿
40：能照着PPT读，但无法展开说明，应答生硬
30：只能简单介绍产品，无法深入，客户难以理解价值
20：表达不清晰，逻辑混乱，客户听不懂
10：基本无法独立讲解，依赖他人代劳
0：完全没有输出能力，无法与客户沟通</t>
        </is>
      </c>
    </row>
    <row r="8">
      <c r="A8" s="23" t="inlineStr">
        <is>
          <t>1-9级</t>
        </is>
      </c>
      <c r="B8" s="241" t="inlineStr">
        <is>
          <t>1级：&lt;20      
2级：20-30    
3级：30-40     
4级：40-50   
5级：50-60   
6级：60-70   
7级：70-80   
8级：80-90   
9级：90-100</t>
        </is>
      </c>
      <c r="C8" s="280" t="n"/>
      <c r="D8" s="280" t="n"/>
      <c r="E8" s="280" t="n"/>
      <c r="F8" s="280" t="n"/>
      <c r="G8" s="280" t="n"/>
      <c r="H8" s="280" t="n"/>
      <c r="I8" s="280" t="n"/>
      <c r="J8" s="280" t="n"/>
      <c r="K8" s="280" t="n"/>
      <c r="L8" s="280" t="n"/>
      <c r="M8" s="281" t="n"/>
      <c r="N8" s="13" t="n"/>
    </row>
    <row r="9">
      <c r="A9" s="239" t="inlineStr">
        <is>
          <t>项目</t>
        </is>
      </c>
      <c r="B9" s="24" t="inlineStr">
        <is>
          <t>第一板斧（选好骨干）</t>
        </is>
      </c>
      <c r="C9" s="25" t="inlineStr">
        <is>
          <t>第二板斧（画施工图）</t>
        </is>
      </c>
      <c r="D9" s="26" t="inlineStr">
        <is>
          <t>第三 板斧（提升人效）</t>
        </is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3" t="n"/>
    </row>
    <row r="10" ht="364.8" customHeight="1">
      <c r="A10" s="27" t="inlineStr">
        <is>
          <t>单元三板斧</t>
        </is>
      </c>
      <c r="B10" s="28" t="inlineStr">
        <is>
          <t>90-100 分：慧眼识人，精准识别高潜、高能销售、特殊人才；敢于任用能力强于自己的骨干，人岗高度匹配、用人所长；销售梯队健康，新人、熟手、攻坚骨干层级完整、持续涌现
80-89 分：能识别优秀人才，任用基本合理；骨干队伍稳定，能支撑业绩指标；即便个别销售出现波动也能及时调整或补充，团队战斗力有保障
70-79 分：识人眼光一般，存在人岗错配，但核心骨干队伍基本稳定，不影响核心业务
60-69 分：识人眼光差，频繁招错人或用错人；核心销售 / 骨干流失严重或长期空缺，团队战斗力大幅下滑
＜60 分：嫉贤妒能，害怕下属业绩超过自己，团队投诉、内耗严重；无可用骨干或骨干均为庸才，团队形同虚设</t>
        </is>
      </c>
      <c r="C10" s="28" t="inlineStr">
        <is>
          <t>90-100 分：深刻理解公司战略并精准转化为可落地的销售策略；市场洞察敏锐，客户分层清晰，核心客户突破路径极其明确，节点预测精准；团队对业绩目标和打法节奏高度认同，销售动作标准统一，执行顺畅无偏差
80-89 分：能制定完整作战计划，业绩目标拆解合理；主要市场风险、项目风险有应对预案，执行基本顺畅，偶有微调不影响整体结果
70-79 分：计划基本可行，但细节不够完善、风险识别不全，执行中需多次调整方向，但最终能勉强达成目标
60-69 分：计划粗糙，目标拆解模糊；风险频发、应对被动，执行混乱，频繁出现丢单、延期、回款滞后，多次返工调整
＜60 分：无计划或计划脱离实际，业绩推进完全失控，连续丢单、目标严重缺口，团队作战无序</t>
        </is>
      </c>
      <c r="D10" s="15" t="inlineStr">
        <is>
          <t>90-100 分：人效显著高于同规模团队；善用工具提升跟进效率；人才培养体系完善，新人快速上手、老人持续突破，团队士气高昂
80-89 分：稳定完成业绩目标，人均产出良好；重视人才培养，能带出可独立作战的骨干。
70-79 分：勉强完成业绩目标，主要靠个别销售扛业绩；人才培养偶有亮点，但缺乏系统性
60-69 分：忙而无效、频繁加班但产出低下；忽视人才培养，新人成长慢、老员工躺平，存活率低
＜60 分：产出完全无法支撑业绩目标；无人可用、或现有人员能力严重不足，商机枯竭，成为公司业务增长瓶颈</t>
        </is>
      </c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3" t="n"/>
    </row>
    <row r="11">
      <c r="A11" s="240" t="inlineStr">
        <is>
          <t>项目</t>
        </is>
      </c>
      <c r="B11" s="239" t="inlineStr">
        <is>
          <t>考核结果</t>
        </is>
      </c>
      <c r="C11" s="299" t="n"/>
      <c r="D11" s="298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3" t="n"/>
    </row>
    <row r="12">
      <c r="A12" s="282" t="n"/>
      <c r="B12" s="239" t="inlineStr">
        <is>
          <t>单元</t>
        </is>
      </c>
      <c r="C12" s="239" t="inlineStr">
        <is>
          <t>非单元</t>
        </is>
      </c>
      <c r="D12" s="239" t="inlineStr">
        <is>
          <t>评级来源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3" t="n"/>
    </row>
    <row r="13" ht="57" customHeight="1">
      <c r="A13" s="29" t="inlineStr">
        <is>
          <t>结果</t>
        </is>
      </c>
      <c r="B13" s="16" t="inlineStr">
        <is>
          <t>&gt;100：A+
80-100：A
60-80：B
40-60：C
&lt;40: D</t>
        </is>
      </c>
      <c r="C13" s="16" t="inlineStr">
        <is>
          <t>&gt;100：A+
80-100：A
50-80：B
30-50：C
&lt;30: D</t>
        </is>
      </c>
      <c r="D13" s="16" t="inlineStr">
        <is>
          <t>试用期：试用期目标达成情况
转正后&amp;晋级：年度目标达成情况，参考通道图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3" t="n"/>
    </row>
  </sheetData>
  <mergeCells count="20">
    <mergeCell ref="B11:D11"/>
    <mergeCell ref="C1:E1"/>
    <mergeCell ref="B8:M8"/>
    <mergeCell ref="L4:N4"/>
    <mergeCell ref="L5:L6"/>
    <mergeCell ref="N5:N6"/>
    <mergeCell ref="A4:A6"/>
    <mergeCell ref="M5:M6"/>
    <mergeCell ref="B1:B2"/>
    <mergeCell ref="I4:K4"/>
    <mergeCell ref="I5:I6"/>
    <mergeCell ref="G5:G6"/>
    <mergeCell ref="F1:H1"/>
    <mergeCell ref="F4:H4"/>
    <mergeCell ref="I1:I2"/>
    <mergeCell ref="H5:H6"/>
    <mergeCell ref="J5:J6"/>
    <mergeCell ref="K5:K6"/>
    <mergeCell ref="A11:A1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D36" sqref="D36"/>
    </sheetView>
  </sheetViews>
  <sheetFormatPr baseColWidth="8" defaultColWidth="9.109375" defaultRowHeight="13.8"/>
  <sheetData>
    <row r="1" ht="15.6" customHeight="1">
      <c r="A1" s="243" t="inlineStr">
        <is>
          <t>销售岗位核心面试问题</t>
        </is>
      </c>
    </row>
    <row r="2" ht="15.6" customHeight="1">
      <c r="A2" s="1" t="inlineStr">
        <is>
          <t>兴趣</t>
        </is>
      </c>
      <c r="B2" s="2" t="n"/>
      <c r="C2" s="3" t="n"/>
      <c r="D2" s="3" t="n"/>
      <c r="E2" s="4" t="n"/>
    </row>
    <row r="3" ht="15" customHeight="1">
      <c r="A3" s="5" t="inlineStr">
        <is>
          <t>1. 非工作时间你会主动关注销售相关内容吗？请举1个无要求无奖励的主动投入案例</t>
        </is>
      </c>
      <c r="B3" s="6" t="n"/>
      <c r="C3" s="3" t="n"/>
      <c r="D3" s="3" t="n"/>
      <c r="E3" s="4" t="n"/>
    </row>
    <row r="4" ht="15" customHeight="1">
      <c r="A4" s="5" t="inlineStr">
        <is>
          <t>2. 你为什么选择销售岗位？未来3年职业规划是什么？</t>
        </is>
      </c>
      <c r="B4" s="6" t="n"/>
      <c r="C4" s="3" t="n"/>
      <c r="D4" s="3" t="n"/>
      <c r="E4" s="4" t="n"/>
    </row>
    <row r="5" ht="15" customHeight="1">
      <c r="A5" s="5" t="inlineStr">
        <is>
          <t>3. 面对电话拓客被拒、资料整理枯燥等情况，你如何坚持？</t>
        </is>
      </c>
      <c r="B5" s="6" t="n"/>
      <c r="C5" s="3" t="n"/>
      <c r="D5" s="3" t="n"/>
      <c r="E5" s="4" t="n"/>
    </row>
    <row r="6" ht="15" customHeight="1">
      <c r="A6" s="5" t="inlineStr">
        <is>
          <t>4. 你最近一次主动学习销售相关知识或技能是什么时候？具体学到了什么？</t>
        </is>
      </c>
      <c r="B6" s="6" t="n"/>
      <c r="C6" s="3" t="n"/>
      <c r="D6" s="3" t="n"/>
      <c r="E6" s="4" t="n"/>
    </row>
    <row r="7" ht="15" customHeight="1">
      <c r="A7" s="5" t="inlineStr">
        <is>
          <t>5. 如果长期没有开单，你会如何调整心态和行动，保持对销售岗位的热情？</t>
        </is>
      </c>
      <c r="B7" s="6" t="n"/>
      <c r="C7" s="3" t="n"/>
      <c r="D7" s="3" t="n"/>
      <c r="E7" s="4" t="n"/>
    </row>
    <row r="8" ht="15" customHeight="1">
      <c r="A8" s="5" t="inlineStr">
        <is>
          <t>6. 如果入职后发现销售工作和预期有差距，你会如何调整并坚守岗位</t>
        </is>
      </c>
      <c r="B8" s="6" t="n"/>
      <c r="C8" s="3" t="n"/>
      <c r="D8" s="3" t="n"/>
      <c r="E8" s="4" t="n"/>
    </row>
    <row r="9" ht="15" customHeight="1">
      <c r="A9" s="5" t="inlineStr">
        <is>
          <t>7. 你认为销售岗位最具挑战性的部分是什么？你如何保持对这份挑战的兴趣？</t>
        </is>
      </c>
      <c r="B9" s="6" t="n"/>
      <c r="C9" s="3" t="n"/>
      <c r="D9" s="3" t="n"/>
      <c r="E9" s="4" t="n"/>
    </row>
    <row r="10" ht="15" customHeight="1">
      <c r="A10" s="5" t="inlineStr">
        <is>
          <t>8. 除了业绩，销售工作中还有什么因素能让你获得成就感？请举例说明</t>
        </is>
      </c>
      <c r="B10" s="6" t="n"/>
      <c r="C10" s="3" t="n"/>
      <c r="D10" s="3" t="n"/>
      <c r="E10" s="4" t="n"/>
    </row>
    <row r="11" ht="15.6" customHeight="1">
      <c r="A11" s="1" t="inlineStr">
        <is>
          <t>狼性</t>
        </is>
      </c>
      <c r="B11" s="2" t="n"/>
      <c r="C11" s="3" t="n"/>
      <c r="D11" s="3" t="n"/>
      <c r="E11" s="4" t="n"/>
    </row>
    <row r="12" ht="15" customHeight="1">
      <c r="A12" s="5" t="inlineStr">
        <is>
          <t>1. 请分享1个面对高难度目标，死磕到底拿结果的案例（高能讲业绩，高潜讲学习/竞赛/实习任务）</t>
        </is>
      </c>
      <c r="B12" s="2" t="n"/>
      <c r="C12" s="3" t="n"/>
      <c r="D12" s="3" t="n"/>
      <c r="E12" s="4" t="n"/>
    </row>
    <row r="13" ht="15" customHeight="1">
      <c r="A13" s="5" t="inlineStr">
        <is>
          <t>2. 项目被客户多次拒绝+团队质疑时，你如何应对？最终结果如何？</t>
        </is>
      </c>
      <c r="B13" s="2" t="n"/>
      <c r="C13" s="3" t="n"/>
      <c r="D13" s="3" t="n"/>
      <c r="E13" s="4" t="n"/>
    </row>
    <row r="14" ht="15" customHeight="1">
      <c r="A14" s="5" t="inlineStr">
        <is>
          <t>3. 你会主动接手没人愿做的高风险客户/任务吗？请说明理由或举例</t>
        </is>
      </c>
      <c r="B14" s="2" t="n"/>
      <c r="C14" s="3" t="n"/>
      <c r="D14" s="3" t="n"/>
      <c r="E14" s="4" t="n"/>
    </row>
    <row r="15" ht="15" customHeight="1">
      <c r="A15" s="5" t="inlineStr">
        <is>
          <t>4. 当团队业绩不达标/任务推进受阻时，你会主动承担什么责任，采取哪些行动改善？</t>
        </is>
      </c>
      <c r="B15" s="2" t="n"/>
      <c r="C15" s="3" t="n"/>
      <c r="D15" s="3" t="n"/>
      <c r="E15" s="4" t="n"/>
    </row>
    <row r="16" ht="15" customHeight="1">
      <c r="A16" s="5" t="inlineStr">
        <is>
          <t>5. 面对竞争对手的强力挤压/他人的竞争挑战，你如何攻坚突围，保住或拿下目标？</t>
        </is>
      </c>
      <c r="B16" s="2" t="n"/>
      <c r="C16" s="3" t="n"/>
      <c r="D16" s="3" t="n"/>
      <c r="E16" s="4" t="n"/>
    </row>
    <row r="17" ht="15" customHeight="1">
      <c r="A17" s="7" t="inlineStr">
        <is>
          <t>6. 请分享1个你主动设定高目标，即便遭遇挫折仍坚持达成的经历</t>
        </is>
      </c>
      <c r="B17" s="2" t="n"/>
      <c r="C17" s="3" t="n"/>
      <c r="D17" s="3" t="n"/>
      <c r="E17" s="8" t="n"/>
    </row>
    <row r="18" ht="15" customHeight="1">
      <c r="A18" s="7" t="inlineStr">
        <is>
          <t>7. 当你负责的项目资源不足时，你会如何争取资源、突破瓶颈？</t>
        </is>
      </c>
      <c r="B18" s="2" t="n"/>
      <c r="C18" s="3" t="n"/>
      <c r="D18" s="3" t="n"/>
      <c r="E18" s="8" t="n"/>
    </row>
    <row r="19" ht="15" customHeight="1">
      <c r="A19" s="7" t="inlineStr">
        <is>
          <t>8. 你如何看待“未达目标”？会采取哪些具体动作避免重复犯错？</t>
        </is>
      </c>
      <c r="B19" s="2" t="n"/>
      <c r="C19" s="3" t="n"/>
      <c r="D19" s="3" t="n"/>
      <c r="E19" s="8" t="n"/>
    </row>
    <row r="20" ht="15.6" customHeight="1">
      <c r="A20" s="1" t="inlineStr">
        <is>
          <t>情商</t>
        </is>
      </c>
      <c r="B20" s="2" t="n"/>
      <c r="C20" s="3" t="n"/>
      <c r="D20" s="3" t="n"/>
      <c r="E20" s="4" t="n"/>
    </row>
    <row r="21" ht="15" customHeight="1">
      <c r="A21" s="5" t="inlineStr">
        <is>
          <t>1. 请分享1个快速获得他人信任，并托付关键合作/任务的案例（说明具体动作）</t>
        </is>
      </c>
      <c r="B21" s="2" t="n"/>
      <c r="C21" s="3" t="n"/>
      <c r="D21" s="3" t="n"/>
      <c r="E21" s="4" t="n"/>
    </row>
    <row r="22" ht="15" customHeight="1">
      <c r="A22" s="5" t="inlineStr">
        <is>
          <t>2. 客户/同事需求与自身/公司利益冲突时，你如何平衡？请举例</t>
        </is>
      </c>
      <c r="B22" s="2" t="n"/>
      <c r="C22" s="3" t="n"/>
      <c r="D22" s="3" t="n"/>
      <c r="E22" s="4" t="n"/>
    </row>
    <row r="23" ht="15" customHeight="1">
      <c r="A23" s="5" t="inlineStr">
        <is>
          <t>3. 面对客户/他人的质疑指责，你会如何回应？举例处理负面情绪的经历</t>
        </is>
      </c>
      <c r="B23" s="2" t="n"/>
      <c r="C23" s="3" t="n"/>
      <c r="D23" s="3" t="n"/>
      <c r="E23" s="4" t="n"/>
    </row>
    <row r="24" ht="15" customHeight="1">
      <c r="A24" s="5" t="inlineStr">
        <is>
          <t>4. 你如何判断他人的真实需求并非表面诉求？请举例说明</t>
        </is>
      </c>
      <c r="B24" s="2" t="n"/>
      <c r="C24" s="3" t="n"/>
      <c r="D24" s="3" t="n"/>
      <c r="E24" s="4" t="n"/>
    </row>
    <row r="25" ht="15" customHeight="1">
      <c r="A25" s="5" t="inlineStr">
        <is>
          <t>5. 当团队成员因沟通误解产生矛盾时，你会如何调解？</t>
        </is>
      </c>
      <c r="B25" s="2" t="n"/>
      <c r="C25" s="3" t="n"/>
      <c r="D25" s="3" t="n"/>
      <c r="E25" s="4" t="n"/>
    </row>
    <row r="26" ht="15" customHeight="1">
      <c r="A26" s="7" t="inlineStr">
        <is>
          <t>6. 如果客户因误解而产生负面情绪，你会如何化解并重建信任？</t>
        </is>
      </c>
      <c r="B26" s="2" t="n"/>
      <c r="C26" s="3" t="n"/>
      <c r="D26" s="3" t="n"/>
      <c r="E26" s="4" t="n"/>
    </row>
    <row r="27" ht="15" customHeight="1">
      <c r="A27" s="7" t="inlineStr">
        <is>
          <t>7. 面对急躁型/慢热型等不同类型的客户，你会怎么调整沟通节奏推进合作？</t>
        </is>
      </c>
      <c r="B27" s="2" t="n"/>
      <c r="C27" s="3" t="n"/>
      <c r="D27" s="3" t="n"/>
      <c r="E27" s="4" t="n"/>
    </row>
    <row r="28" ht="15" customHeight="1">
      <c r="A28" s="7" t="inlineStr">
        <is>
          <t>8. 当你与上级的决策意见不一致时，会如何沟通表达自己的观点？</t>
        </is>
      </c>
      <c r="B28" s="2" t="n"/>
      <c r="C28" s="3" t="n"/>
      <c r="D28" s="3" t="n"/>
      <c r="E28" s="4" t="n"/>
    </row>
    <row r="29" ht="15.6" customHeight="1">
      <c r="A29" s="9" t="inlineStr">
        <is>
          <t>搞成铁杆</t>
        </is>
      </c>
      <c r="B29" s="3" t="n"/>
      <c r="C29" s="3" t="n"/>
      <c r="D29" s="3" t="n"/>
      <c r="E29" s="4" t="n"/>
    </row>
    <row r="30" ht="15" customHeight="1">
      <c r="A30" s="7" t="inlineStr">
        <is>
          <t>1. 请分享1个从陌生对接做到“铁杆客户”的完整案例（如何建立信任/维护关系）</t>
        </is>
      </c>
      <c r="B30" s="3" t="n"/>
      <c r="C30" s="3" t="n"/>
      <c r="D30" s="3" t="n"/>
      <c r="E30" s="4" t="n"/>
    </row>
    <row r="31" ht="15" customHeight="1">
      <c r="A31" s="7" t="inlineStr">
        <is>
          <t>2. 你目前稳定维护的铁杆客户有多少？举例说明核心铁杆的业绩贡献（量化）</t>
        </is>
      </c>
      <c r="B31" s="3" t="n"/>
      <c r="C31" s="3" t="n"/>
      <c r="D31" s="3" t="n"/>
      <c r="E31" s="4" t="n"/>
    </row>
    <row r="32" ht="15" customHeight="1">
      <c r="A32" s="7" t="inlineStr">
        <is>
          <t>3. 什么行为会毁掉铁杆信任？你遇到过吗？怎么避免？</t>
        </is>
      </c>
      <c r="B32" s="3" t="n"/>
      <c r="C32" s="3" t="n"/>
      <c r="D32" s="3" t="n"/>
      <c r="E32" s="4" t="n"/>
    </row>
    <row r="33" ht="15" customHeight="1">
      <c r="A33" s="7" t="inlineStr">
        <is>
          <t>4. 你会通过哪些非功利性动作，深化与客户的关系，让其成为铁杆？</t>
        </is>
      </c>
      <c r="B33" s="3" t="n"/>
      <c r="C33" s="3" t="n"/>
      <c r="D33" s="3" t="n"/>
      <c r="E33" s="4" t="n"/>
    </row>
    <row r="34" ht="15" customHeight="1">
      <c r="A34" s="7" t="inlineStr">
        <is>
          <t>5. 你怎么识别 XX客户里的 MVP（关键决策人 / 明日之星）并重点经营</t>
        </is>
      </c>
      <c r="B34" s="3" t="n"/>
      <c r="C34" s="3" t="n"/>
      <c r="D34" s="3" t="n"/>
      <c r="E34" s="4" t="n"/>
    </row>
    <row r="35" ht="15" customHeight="1">
      <c r="A35" s="7" t="inlineStr">
        <is>
          <t>6. 你如何判断客户是否有潜力成为“铁杆”？会采取哪些早期动作铺垫关系？</t>
        </is>
      </c>
      <c r="B35" s="2" t="n"/>
      <c r="C35" s="3" t="n"/>
      <c r="D35" s="3" t="n"/>
      <c r="E35" s="4" t="n"/>
    </row>
    <row r="36" ht="15" customHeight="1">
      <c r="A36" s="7" t="inlineStr">
        <is>
          <t>7. 面对客户的个性化需求（超出常规服务范围），你会如何回应以巩固关系？</t>
        </is>
      </c>
      <c r="B36" s="2" t="n"/>
      <c r="C36" s="3" t="n"/>
      <c r="D36" s="3" t="n"/>
      <c r="E36" s="4" t="n"/>
    </row>
    <row r="37" ht="15" customHeight="1">
      <c r="A37" s="7" t="inlineStr">
        <is>
          <t>8. 你会如何利用铁杆客户的资源，拓展新的优质客户？请举例说明</t>
        </is>
      </c>
      <c r="B37" s="2" t="n"/>
      <c r="C37" s="3" t="n"/>
      <c r="D37" s="3" t="n"/>
      <c r="E37" s="4" t="n"/>
    </row>
    <row r="38" ht="15.6" customHeight="1">
      <c r="A38" s="9" t="inlineStr">
        <is>
          <t>情报收集</t>
        </is>
      </c>
      <c r="B38" s="3" t="n"/>
      <c r="C38" s="3" t="n"/>
      <c r="D38" s="3" t="n"/>
      <c r="E38" s="4" t="n"/>
    </row>
    <row r="39" ht="15" customHeight="1">
      <c r="A39" s="7" t="inlineStr">
        <is>
          <t>1. 你获取客户内部项目情报的主要渠道有哪些？举例如何通过线人验证真实性</t>
        </is>
      </c>
      <c r="B39" s="3" t="n"/>
      <c r="C39" s="3" t="n"/>
      <c r="D39" s="3" t="n"/>
      <c r="E39" s="4" t="n"/>
    </row>
    <row r="40" ht="15" customHeight="1">
      <c r="A40" s="7" t="inlineStr">
        <is>
          <t>2. 面对新责任田，你如何收集情报并形成落地档案？</t>
        </is>
      </c>
      <c r="B40" s="3" t="n"/>
      <c r="C40" s="3" t="n"/>
      <c r="D40" s="3" t="n"/>
      <c r="E40" s="4" t="n"/>
    </row>
    <row r="41" ht="15" customHeight="1">
      <c r="A41" s="7" t="inlineStr">
        <is>
          <t>3. 分享1个通过关键情报推动项目赢单的案例，说明情报核心价值</t>
        </is>
      </c>
      <c r="B41" s="3" t="n"/>
      <c r="C41" s="3" t="n"/>
      <c r="D41" s="3" t="n"/>
      <c r="E41" s="4" t="n"/>
    </row>
    <row r="42" ht="15" customHeight="1">
      <c r="A42" s="7" t="inlineStr">
        <is>
          <t>4. 你会如何发展和维护线人，确保情报的持续获取？</t>
        </is>
      </c>
      <c r="B42" s="3" t="n"/>
      <c r="C42" s="3" t="n"/>
      <c r="D42" s="3" t="n"/>
      <c r="E42" s="4" t="n"/>
    </row>
    <row r="43" ht="15" customHeight="1">
      <c r="A43" s="7" t="inlineStr">
        <is>
          <t>5. 当收集到矛盾的情报时，你会如何辨别真伪并提取有效信息？</t>
        </is>
      </c>
      <c r="B43" s="3" t="n"/>
      <c r="C43" s="3" t="n"/>
      <c r="D43" s="3" t="n"/>
      <c r="E43" s="4" t="n"/>
    </row>
    <row r="44" ht="15" customHeight="1">
      <c r="A44" s="7" t="inlineStr">
        <is>
          <t>6. 你如何判断哪些情报对项目推进至关重要？会如何优先级排序并利用？</t>
        </is>
      </c>
      <c r="B44" s="2" t="n"/>
      <c r="C44" s="3" t="n"/>
      <c r="D44" s="3" t="n"/>
      <c r="E44" s="4" t="n"/>
    </row>
    <row r="45" ht="15" customHeight="1">
      <c r="A45" s="7" t="inlineStr">
        <is>
          <t>7. 在无法直接接触核心决策层的情况下，你会如何获取关键项目情报？</t>
        </is>
      </c>
      <c r="B45" s="2" t="n"/>
      <c r="C45" s="3" t="n"/>
      <c r="D45" s="3" t="n"/>
      <c r="E45" s="4" t="n"/>
    </row>
    <row r="46" ht="15" customHeight="1">
      <c r="A46" s="7" t="inlineStr">
        <is>
          <t>8. 你会如何利用公开信息（如行业报告、招标公告）挖掘有价值的客户情报？</t>
        </is>
      </c>
      <c r="B46" s="2" t="n"/>
      <c r="C46" s="3" t="n"/>
      <c r="D46" s="3" t="n"/>
      <c r="E46" s="4" t="n"/>
    </row>
    <row r="47" ht="15.6" customHeight="1">
      <c r="A47" s="9" t="inlineStr">
        <is>
          <t>专业知识</t>
        </is>
      </c>
      <c r="B47" s="3" t="n"/>
      <c r="C47" s="3" t="n"/>
      <c r="D47" s="3" t="n"/>
      <c r="E47" s="4" t="n"/>
    </row>
    <row r="48" ht="15" customHeight="1">
      <c r="A48" s="7" t="inlineStr">
        <is>
          <t>1. 结合你过往任职的公司，讲讲你负责的核心产品是什么？核心卖点、适配场景及竞品优劣势分别是什么？</t>
        </is>
      </c>
      <c r="B48" s="3" t="n"/>
      <c r="C48" s="3" t="n"/>
      <c r="D48" s="3" t="n"/>
      <c r="E48" s="4" t="n"/>
    </row>
    <row r="49" ht="15" customHeight="1">
      <c r="A49" s="7" t="inlineStr">
        <is>
          <t>2. 你深耕的行业有哪些核心政策、发展趋势及市场格局？过往你是如何依托这些信息推进销售工作的？</t>
        </is>
      </c>
      <c r="B49" s="3" t="n"/>
      <c r="C49" s="3" t="n"/>
      <c r="D49" s="3" t="n"/>
      <c r="E49" s="4" t="n"/>
    </row>
    <row r="50" ht="15" customHeight="1">
      <c r="A50" s="7" t="inlineStr">
        <is>
          <t>3. 面对客户针对你过往公司产品提出的质疑（如稳定性、性价比、适配性），你会如何专业回应？请举例说明。</t>
        </is>
      </c>
      <c r="B50" s="3" t="n"/>
      <c r="C50" s="3" t="n"/>
      <c r="D50" s="3" t="n"/>
      <c r="E50" s="4" t="n"/>
    </row>
    <row r="51" ht="15" customHeight="1">
      <c r="A51" s="7" t="inlineStr">
        <is>
          <t>4. 请用通俗易懂的语言，向非技术背景的客户讲解你过往负责的产品核心价值，你会怎么表述？</t>
        </is>
      </c>
      <c r="B51" s="3" t="n"/>
      <c r="C51" s="3" t="n"/>
      <c r="D51" s="3" t="n"/>
      <c r="E51" s="4" t="n"/>
    </row>
    <row r="52" ht="15" customHeight="1">
      <c r="A52" s="7" t="inlineStr">
        <is>
          <t>5. 面对客户提出的、你无法当场解答的产品技术或行业难题，你会如何处理？请结合过往经历说明。</t>
        </is>
      </c>
      <c r="B52" s="3" t="n"/>
      <c r="C52" s="3" t="n"/>
      <c r="D52" s="3" t="n"/>
      <c r="E52" s="4" t="n"/>
    </row>
    <row r="53" ht="15" customHeight="1">
      <c r="A53" s="7" t="inlineStr">
        <is>
          <t>6. 你会如何根据客户的行业特性、业务需求，定制过往产品的讲解重点？请举例说明。</t>
        </is>
      </c>
      <c r="B53" s="2" t="n"/>
      <c r="C53" s="3" t="n"/>
      <c r="D53" s="3" t="n"/>
      <c r="E53" s="4" t="n"/>
    </row>
    <row r="54" ht="15" customHeight="1">
      <c r="A54" s="7" t="inlineStr">
        <is>
          <t>7. 在过往参与的招投标项目中，你如何通过专业表达突出自家产品竞争力，打动评标人员？</t>
        </is>
      </c>
      <c r="B54" s="2" t="n"/>
      <c r="C54" s="3" t="n"/>
      <c r="D54" s="3" t="n"/>
      <c r="E54" s="4" t="n"/>
    </row>
    <row r="55" ht="15" customHeight="1">
      <c r="A55" s="7" t="inlineStr">
        <is>
          <t>8. 你会如何向客户传递所在行业的前沿趋势，同时关联自家产品的核心优势，助力签单？</t>
        </is>
      </c>
      <c r="B55" s="2" t="n"/>
      <c r="C55" s="3" t="n"/>
      <c r="D55" s="3" t="n"/>
      <c r="E55" s="4" t="n"/>
    </row>
    <row r="56" ht="15.6" customHeight="1">
      <c r="A56" s="9" t="inlineStr">
        <is>
          <t>其他问题补充</t>
        </is>
      </c>
      <c r="B56" s="3" t="n"/>
      <c r="C56" s="3" t="n"/>
      <c r="D56" s="3" t="n"/>
      <c r="E56" s="4" t="n"/>
    </row>
    <row r="57" ht="15.6" customHeight="1">
      <c r="A57" s="9" t="inlineStr">
        <is>
          <t>高能</t>
        </is>
      </c>
      <c r="B57" s="3" t="n"/>
      <c r="C57" s="3" t="n"/>
      <c r="D57" s="3" t="n"/>
      <c r="E57" s="4" t="n"/>
    </row>
    <row r="58" ht="15" customHeight="1">
      <c r="A58" s="7" t="inlineStr">
        <is>
          <t>1. 量化说明你过往3年的核心销售业绩（营收/签单量/目标达成率），最突出的1个拿结果案例是什么？</t>
        </is>
      </c>
      <c r="B58" s="3" t="n"/>
      <c r="C58" s="3" t="n"/>
      <c r="D58" s="3" t="n"/>
      <c r="E58" s="4" t="n"/>
    </row>
    <row r="59" ht="15" customHeight="1">
      <c r="A59" s="7" t="inlineStr">
        <is>
          <t>2. 你维护的核心客户年均贡献多少业绩？如何推动客户复购或扩项？</t>
        </is>
      </c>
      <c r="B59" s="3" t="n"/>
      <c r="C59" s="3" t="n"/>
      <c r="D59" s="3" t="n"/>
      <c r="E59" s="4" t="n"/>
    </row>
    <row r="60" ht="15" customHeight="1">
      <c r="A60" s="7" t="inlineStr">
        <is>
          <t>3. 面对未达成的销售目标，你是如何分析原因并改进的？最终结果如何？</t>
        </is>
      </c>
      <c r="B60" s="3" t="n"/>
      <c r="C60" s="3" t="n"/>
      <c r="D60" s="3" t="n"/>
      <c r="E60" s="4" t="n"/>
    </row>
    <row r="61" ht="15" customHeight="1">
      <c r="A61" s="7" t="inlineStr">
        <is>
          <t>4. 你最大的一笔签单是如何拿下的？关键动作和决策是什么？</t>
        </is>
      </c>
      <c r="B61" s="3" t="n"/>
      <c r="C61" s="3" t="n"/>
      <c r="D61" s="3" t="n"/>
      <c r="E61" s="4" t="n"/>
    </row>
    <row r="62" ht="15" customHeight="1">
      <c r="A62" s="7" t="inlineStr">
        <is>
          <t>5. 如何将过往的成功销售经验复制到新的客户或市场中，持续拿结果？</t>
        </is>
      </c>
      <c r="B62" s="3" t="n"/>
      <c r="C62" s="3" t="n"/>
      <c r="D62" s="3" t="n"/>
      <c r="E62" s="4" t="n"/>
    </row>
    <row r="63" ht="15" customHeight="1">
      <c r="A63" s="7" t="inlineStr">
        <is>
          <t>6. 你曾通过哪些创新方式提升业绩？请举例说明具体效果（量化）</t>
        </is>
      </c>
      <c r="B63" s="2" t="n"/>
      <c r="C63" s="3" t="n"/>
      <c r="D63" s="3" t="n"/>
      <c r="E63" s="4" t="n"/>
    </row>
    <row r="64" ht="15" customHeight="1">
      <c r="A64" s="7" t="inlineStr">
        <is>
          <t>7. 面对经济下行/行业淡季等外部压力，你如何保障业绩稳定？</t>
        </is>
      </c>
      <c r="B64" s="2" t="n"/>
      <c r="C64" s="3" t="n"/>
      <c r="D64" s="3" t="n"/>
      <c r="E64" s="4" t="n"/>
    </row>
    <row r="65" ht="15" customHeight="1">
      <c r="A65" s="7" t="inlineStr">
        <is>
          <t>8. 你负责的区域/产品业绩在团队中处于什么水平？如何保持或提升排名？</t>
        </is>
      </c>
      <c r="B65" s="2" t="n"/>
      <c r="C65" s="3" t="n"/>
      <c r="D65" s="3" t="n"/>
      <c r="E65" s="4" t="n"/>
    </row>
    <row r="66" ht="15.6" customHeight="1">
      <c r="A66" s="9" t="inlineStr">
        <is>
          <t>高潜</t>
        </is>
      </c>
      <c r="B66" s="3" t="n"/>
      <c r="C66" s="3" t="n"/>
      <c r="D66" s="3" t="n"/>
      <c r="E66" s="4" t="n"/>
    </row>
    <row r="67" ht="15" customHeight="1">
      <c r="A67" s="7" t="inlineStr">
        <is>
          <t>1. 请分享1个你在实习/校园/社会实践中最有成就感的成果，如何量化该成果？</t>
        </is>
      </c>
      <c r="B67" s="3" t="n"/>
      <c r="C67" s="3" t="n"/>
      <c r="D67" s="3" t="n"/>
      <c r="E67" s="4" t="n"/>
    </row>
    <row r="68" ht="15" customHeight="1">
      <c r="A68" s="7" t="inlineStr">
        <is>
          <t>2. 你在过往经历中，如何快速学习一项新技能并应用到任务中？请举例说明</t>
        </is>
      </c>
      <c r="B68" s="3" t="n"/>
      <c r="C68" s="3" t="n"/>
      <c r="D68" s="3" t="n"/>
      <c r="E68" s="4" t="n"/>
    </row>
    <row r="69" ht="15" customHeight="1">
      <c r="A69" s="7" t="inlineStr">
        <is>
          <t>3. 面对复杂且有挑战的任务（如竞赛/项目攻坚），你是如何推进并达成目标的？</t>
        </is>
      </c>
      <c r="B69" s="3" t="n"/>
      <c r="C69" s="3" t="n"/>
      <c r="D69" s="3" t="n"/>
      <c r="E69" s="4" t="n"/>
    </row>
    <row r="70" ht="15" customHeight="1">
      <c r="A70" s="7" t="inlineStr">
        <is>
          <t>4. 你在团队中曾承担过什么角色？为团队目标达成做了哪些贡献？</t>
        </is>
      </c>
      <c r="B70" s="3" t="n"/>
      <c r="C70" s="3" t="n"/>
      <c r="D70" s="3" t="n"/>
      <c r="E70" s="4" t="n"/>
    </row>
    <row r="71" ht="15" customHeight="1">
      <c r="A71" s="7" t="inlineStr">
        <is>
          <t>5. 你认为自己过往经历中，哪些成果或能力能迁移到销售岗位中？</t>
        </is>
      </c>
      <c r="B71" s="3" t="n"/>
      <c r="C71" s="3" t="n"/>
      <c r="D71" s="3" t="n"/>
      <c r="E71" s="4" t="n"/>
    </row>
    <row r="72" ht="15" customHeight="1">
      <c r="A72" s="7" t="inlineStr">
        <is>
          <t>6. 请分享1个你主动设定目标，通过持续努力最终超额完成的经历</t>
        </is>
      </c>
      <c r="B72" s="2" t="n"/>
      <c r="C72" s="3" t="n"/>
      <c r="D72" s="3" t="n"/>
      <c r="E72" s="4" t="n"/>
    </row>
    <row r="73" ht="15" customHeight="1">
      <c r="A73" s="7" t="inlineStr">
        <is>
          <t>7. 在缺乏经验的情况下，你如何快速上手一项新任务并产出成果？</t>
        </is>
      </c>
      <c r="B73" s="2" t="n"/>
      <c r="C73" s="3" t="n"/>
      <c r="D73" s="3" t="n"/>
      <c r="E73" s="4" t="n"/>
    </row>
    <row r="74" ht="15" customHeight="1">
      <c r="A74" s="7" t="inlineStr">
        <is>
          <t>8. 你曾遇到过的最大挫折是什么？如何克服并从中总结经验？</t>
        </is>
      </c>
      <c r="B74" s="2" t="n"/>
      <c r="C74" s="3" t="n"/>
      <c r="D74" s="3" t="n"/>
      <c r="E74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kimodi</dc:creator>
  <dcterms:created xsi:type="dcterms:W3CDTF">2015-06-28T18:17:00Z</dcterms:created>
  <dcterms:modified xsi:type="dcterms:W3CDTF">2026-05-12T09:42:23Z</dcterms:modified>
  <cp:lastModifiedBy>760325018@qq.com</cp:lastModifiedBy>
  <cp:lastPrinted>2022-04-14T10:51:00Z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473564A6B15548F987FE48E0E78FFF57_13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