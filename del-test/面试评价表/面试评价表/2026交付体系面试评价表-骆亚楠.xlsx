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trlProps/ctrlProp1.xml" ContentType="application/vnd.ms-excel.controlproperties+xml"/>
  <Override PartName="/xl/ctrlProps/ctrlProp10.xml" ContentType="application/vnd.ms-excel.controlproperties+xml"/>
  <Override PartName="/xl/ctrlProps/ctrlProp11.xml" ContentType="application/vnd.ms-excel.controlproperties+xml"/>
  <Override PartName="/xl/ctrlProps/ctrlProp12.xml" ContentType="application/vnd.ms-excel.controlproperties+xml"/>
  <Override PartName="/xl/ctrlProps/ctrlProp13.xml" ContentType="application/vnd.ms-excel.controlproperties+xml"/>
  <Override PartName="/xl/ctrlProps/ctrlProp14.xml" ContentType="application/vnd.ms-excel.controlproperties+xml"/>
  <Override PartName="/xl/ctrlProps/ctrlProp15.xml" ContentType="application/vnd.ms-excel.controlproperties+xml"/>
  <Override PartName="/xl/ctrlProps/ctrlProp16.xml" ContentType="application/vnd.ms-excel.controlproperties+xml"/>
  <Override PartName="/xl/ctrlProps/ctrlProp17.xml" ContentType="application/vnd.ms-excel.controlproperties+xml"/>
  <Override PartName="/xl/ctrlProps/ctrlProp18.xml" ContentType="application/vnd.ms-excel.controlproperties+xml"/>
  <Override PartName="/xl/ctrlProps/ctrlProp19.xml" ContentType="application/vnd.ms-excel.controlproperties+xml"/>
  <Override PartName="/xl/ctrlProps/ctrlProp2.xml" ContentType="application/vnd.ms-excel.controlproperties+xml"/>
  <Override PartName="/xl/ctrlProps/ctrlProp20.xml" ContentType="application/vnd.ms-excel.controlproperties+xml"/>
  <Override PartName="/xl/ctrlProps/ctrlProp21.xml" ContentType="application/vnd.ms-excel.controlproperties+xml"/>
  <Override PartName="/xl/ctrlProps/ctrlProp22.xml" ContentType="application/vnd.ms-excel.controlproperties+xml"/>
  <Override PartName="/xl/ctrlProps/ctrlProp23.xml" ContentType="application/vnd.ms-excel.controlproperties+xml"/>
  <Override PartName="/xl/ctrlProps/ctrlProp24.xml" ContentType="application/vnd.ms-excel.controlproperties+xml"/>
  <Override PartName="/xl/ctrlProps/ctrlProp25.xml" ContentType="application/vnd.ms-excel.controlproperties+xml"/>
  <Override PartName="/xl/ctrlProps/ctrlProp26.xml" ContentType="application/vnd.ms-excel.controlproperties+xml"/>
  <Override PartName="/xl/ctrlProps/ctrlProp27.xml" ContentType="application/vnd.ms-excel.controlproperties+xml"/>
  <Override PartName="/xl/ctrlProps/ctrlProp28.xml" ContentType="application/vnd.ms-excel.controlproperties+xml"/>
  <Override PartName="/xl/ctrlProps/ctrlProp29.xml" ContentType="application/vnd.ms-excel.controlproperties+xml"/>
  <Override PartName="/xl/ctrlProps/ctrlProp3.xml" ContentType="application/vnd.ms-excel.controlproperties+xml"/>
  <Override PartName="/xl/ctrlProps/ctrlProp30.xml" ContentType="application/vnd.ms-excel.controlproperties+xml"/>
  <Override PartName="/xl/ctrlProps/ctrlProp4.xml" ContentType="application/vnd.ms-excel.controlproperties+xml"/>
  <Override PartName="/xl/ctrlProps/ctrlProp5.xml" ContentType="application/vnd.ms-excel.controlproperties+xml"/>
  <Override PartName="/xl/ctrlProps/ctrlProp6.xml" ContentType="application/vnd.ms-excel.controlproperties+xml"/>
  <Override PartName="/xl/ctrlProps/ctrlProp7.xml" ContentType="application/vnd.ms-excel.controlproperties+xml"/>
  <Override PartName="/xl/ctrlProps/ctrlProp8.xml" ContentType="application/vnd.ms-excel.controlproperties+xml"/>
  <Override PartName="/xl/ctrlProps/ctrlProp9.xml" ContentType="application/vnd.ms-excel.control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8000" windowHeight="14380"/>
  </bookViews>
  <sheets>
    <sheet name="服务岗位面试评价表" sheetId="7" r:id="rId1"/>
    <sheet name="录用规则" sheetId="8" r:id="rId2"/>
    <sheet name="评分标准" sheetId="9" r:id="rId3"/>
  </sheets>
  <definedNames>
    <definedName name="_xlnm._FilterDatabase" localSheetId="0" hidden="1">服务岗位面试评价表!$B$1:$N$30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<sst xmlns="http://schemas.openxmlformats.org/spreadsheetml/2006/main" count="258" uniqueCount="167">
  <si>
    <t>基本信息</t>
  </si>
  <si>
    <t>初试</t>
  </si>
  <si>
    <t>线下协同初试</t>
  </si>
  <si>
    <t>复试</t>
  </si>
  <si>
    <t>终试</t>
  </si>
  <si>
    <t>候选人姓名</t>
  </si>
  <si>
    <t>骆亚楠</t>
  </si>
  <si>
    <t>籍贯</t>
  </si>
  <si>
    <t>内蒙</t>
  </si>
  <si>
    <t>出生年月/民族</t>
  </si>
  <si>
    <t>面试官</t>
  </si>
  <si>
    <t>复试官</t>
  </si>
  <si>
    <t>终试官</t>
  </si>
  <si>
    <t>应聘岗位</t>
  </si>
  <si>
    <t>数据库工程师</t>
  </si>
  <si>
    <t>城市</t>
  </si>
  <si>
    <t>深圳</t>
  </si>
  <si>
    <t>原公司类型</t>
  </si>
  <si>
    <t>其他</t>
  </si>
  <si>
    <r>
      <rPr>
        <sz val="11"/>
        <color theme="1"/>
        <rFont val="微软雅黑"/>
        <charset val="134"/>
      </rPr>
      <t>冯</t>
    </r>
    <r>
      <rPr>
        <sz val="11"/>
        <color theme="1"/>
        <rFont val="宋体-简"/>
        <charset val="134"/>
      </rPr>
      <t>璟</t>
    </r>
  </si>
  <si>
    <t>佟长胜</t>
  </si>
  <si>
    <t>第一学历学校</t>
  </si>
  <si>
    <t>云南师范大学</t>
  </si>
  <si>
    <t>专业</t>
  </si>
  <si>
    <t>测绘工程</t>
  </si>
  <si>
    <t>高考数学成绩</t>
  </si>
  <si>
    <t>面试方式</t>
  </si>
  <si>
    <t>月底薪</t>
  </si>
  <si>
    <t>绩效/奖金</t>
  </si>
  <si>
    <t>1-2个月年终奖</t>
  </si>
  <si>
    <t>人才类型（必选）</t>
  </si>
  <si>
    <t>A4-A6</t>
  </si>
  <si>
    <t>HR</t>
  </si>
  <si>
    <t>徐冰</t>
  </si>
  <si>
    <t>直接上级</t>
  </si>
  <si>
    <t>刘枫</t>
  </si>
  <si>
    <t>人才来源</t>
  </si>
  <si>
    <t>boss</t>
  </si>
  <si>
    <t>简历识别</t>
  </si>
  <si>
    <t>亮点、疑点和风险点（黑白灰清单项）</t>
  </si>
  <si>
    <t>面试识别</t>
  </si>
  <si>
    <t>考核维度</t>
  </si>
  <si>
    <t>面试评分(100分制)</t>
  </si>
  <si>
    <t>评分依据</t>
  </si>
  <si>
    <t>面试评分</t>
  </si>
  <si>
    <t>AI能力</t>
  </si>
  <si>
    <t>80-89：认可 AI 价值，熟练使用核心工具辅助业务，效率提升明显，关注新应用并主动分享</t>
  </si>
  <si>
    <t>底色</t>
  </si>
  <si>
    <t>兴趣</t>
  </si>
  <si>
    <t>80–89：认可服务价值，责任心强，主动跟进，耐心抗压。</t>
  </si>
  <si>
    <t>智商（50%）</t>
  </si>
  <si>
    <t>数学成绩（45%）</t>
  </si>
  <si>
    <t>80：高考数学≥211平均分</t>
  </si>
  <si>
    <t>毕业院校（35%）</t>
  </si>
  <si>
    <t>80：普通本科专业对口</t>
  </si>
  <si>
    <t>简化能力（20%）</t>
  </si>
  <si>
    <t>80：能讲清楚，但不够精炼</t>
  </si>
  <si>
    <t>狼性（30%）</t>
  </si>
  <si>
    <t>80–89：以客户成功为底线，敢担责、不甩锅，问题闭环到底。</t>
  </si>
  <si>
    <t>情商（20%）</t>
  </si>
  <si>
    <t>80–89：情绪稳定，会安抚客户，冲突理性处理。</t>
  </si>
  <si>
    <t>岗位三板斧</t>
  </si>
  <si>
    <t>快</t>
  </si>
  <si>
    <t>硬能力（50%）</t>
  </si>
  <si>
    <t>70-80分：硬能力认证2级</t>
  </si>
  <si>
    <t>80-90分：硬能力认证 3级</t>
  </si>
  <si>
    <t>软能力（30%）</t>
  </si>
  <si>
    <t xml:space="preserve">
70-80分：软能力认证2级</t>
  </si>
  <si>
    <t>80-90分：软能力认证 3级</t>
  </si>
  <si>
    <t>态度（20%）</t>
  </si>
  <si>
    <t>60-80：积极</t>
  </si>
  <si>
    <t>80-100：非常积极</t>
  </si>
  <si>
    <t>单元三板斧</t>
  </si>
  <si>
    <t>画施工图（30%）</t>
  </si>
  <si>
    <t>&lt;60：无计划或计划完全不可行，项目推进失控，频繁失败。</t>
  </si>
  <si>
    <t>选好骨干（50%）</t>
  </si>
  <si>
    <t>90-100：慧眼识人，精准识别高潜，敢于任用能力强于自己的人；人岗匹配、用人所长，骨干梯队健康、不断涌现。</t>
  </si>
  <si>
    <t>提高人效（20%）</t>
  </si>
  <si>
    <t>90-100：人效显著高于同规模团队；持续优化流程、工具和方法，激发团队潜能；人才培养体系完善，新人上手快、老人持续成长。</t>
  </si>
  <si>
    <t>结果</t>
  </si>
  <si>
    <t>/</t>
  </si>
  <si>
    <t>总分（100分）</t>
  </si>
  <si>
    <t>面试结果</t>
  </si>
  <si>
    <t>级别建议</t>
  </si>
  <si>
    <t>薪资建议</t>
  </si>
  <si>
    <t>说服建议</t>
  </si>
  <si>
    <t>其他建议</t>
  </si>
  <si>
    <t>合议讨论</t>
  </si>
  <si>
    <t>复试&amp;终试领导合议项</t>
  </si>
  <si>
    <t>合议内容</t>
  </si>
  <si>
    <t>合议结果</t>
  </si>
  <si>
    <t>级别：</t>
  </si>
  <si>
    <t>薪资：</t>
  </si>
  <si>
    <t>说明：</t>
  </si>
  <si>
    <t>1、人才类型必选项</t>
  </si>
  <si>
    <t>2、AI能力和兴趣不计入总分，＜80分，一票否决。</t>
  </si>
  <si>
    <t>3、非单元负责人需识别AI能力+底色+岗位三板斧，</t>
  </si>
  <si>
    <t>4、单元负责人需识别AI能力+底色+岗位三板斧+单元三板斧</t>
  </si>
  <si>
    <t>4、A1-A3岗位重点识别AI能力+底色，对岗位三板斧无硬性要求</t>
  </si>
  <si>
    <t>录用评估表（100分制）</t>
  </si>
  <si>
    <t>考核项</t>
  </si>
  <si>
    <t>权重</t>
  </si>
  <si>
    <t>打分</t>
  </si>
  <si>
    <t>评估标准（AI实现）</t>
  </si>
  <si>
    <t>人力资源打分</t>
  </si>
  <si>
    <t>用人单位打分</t>
  </si>
  <si>
    <t>得分</t>
  </si>
  <si>
    <t>非单元</t>
  </si>
  <si>
    <t>单元</t>
  </si>
  <si>
    <t>A1-A3</t>
  </si>
  <si>
    <t>P1-P3</t>
  </si>
  <si>
    <t>P4-P6</t>
  </si>
  <si>
    <t>A7-A9</t>
  </si>
  <si>
    <t>M1-M3</t>
  </si>
  <si>
    <t>≥80</t>
  </si>
  <si>
    <t>智商</t>
  </si>
  <si>
    <t>狼性</t>
  </si>
  <si>
    <t>情商</t>
  </si>
  <si>
    <t>≥70</t>
  </si>
  <si>
    <t>≥68</t>
  </si>
  <si>
    <t>≥76</t>
  </si>
  <si>
    <t>≥84</t>
  </si>
  <si>
    <t>≥81</t>
  </si>
  <si>
    <t>画施工图</t>
  </si>
  <si>
    <t>选好骨干</t>
  </si>
  <si>
    <t>≥90</t>
  </si>
  <si>
    <t>提高人效</t>
  </si>
  <si>
    <t>结论</t>
  </si>
  <si>
    <t>录用</t>
  </si>
  <si>
    <t>总分</t>
  </si>
  <si>
    <t>合议</t>
  </si>
  <si>
    <t>≥73</t>
  </si>
  <si>
    <t>≥77</t>
  </si>
  <si>
    <t>≥78</t>
  </si>
  <si>
    <t>≥82</t>
  </si>
  <si>
    <t>淘汰</t>
  </si>
  <si>
    <t>&lt;73</t>
  </si>
  <si>
    <t>&lt;77</t>
  </si>
  <si>
    <t>&lt;81</t>
  </si>
  <si>
    <t>&lt;78</t>
  </si>
  <si>
    <t>&lt;82</t>
  </si>
  <si>
    <t>及格线</t>
  </si>
  <si>
    <t>评分标准</t>
  </si>
  <si>
    <r>
      <rPr>
        <sz val="9"/>
        <color rgb="FF000000"/>
        <rFont val="Microsoft YaHei"/>
        <charset val="134"/>
      </rPr>
      <t>90–100：主动拥抱 AI，精通各类 AI 辅助工具，能智能分析日志、定位故障、优化 SQL 与巡检脚本；显著提升故障处理效率、数据库稳定性与优化效果，人效与交付质量远超团队平均水平；持续学习前沿 AI 技术并落地应用，积极带动团队提升 AI 运维能力</t>
    </r>
    <r>
      <rPr>
        <sz val="9"/>
        <color rgb="FF000000"/>
        <rFont val="Microsoft YaHei"/>
        <charset val="134"/>
      </rPr>
      <t xml:space="preserve">
</t>
    </r>
    <r>
      <rPr>
        <sz val="9"/>
        <color rgb="FF000000"/>
        <rFont val="Microsoft YaHei"/>
        <charset val="134"/>
      </rPr>
      <t>80-89：认可 AI 价值，熟练使用主流 AI 工具辅助日志排查、问题诊断、SQL 优化与日常巡检；运维效率与问题解决质量提升明显，主动关注 AI 在数据库领域的新应用，并乐于在团队内分享实操经验</t>
    </r>
    <r>
      <rPr>
        <sz val="9"/>
        <color rgb="FF000000"/>
        <rFont val="Microsoft YaHei"/>
        <charset val="134"/>
      </rPr>
      <t xml:space="preserve">
</t>
    </r>
    <r>
      <rPr>
        <sz val="9"/>
        <color rgb="FF000000"/>
        <rFont val="Microsoft YaHei"/>
        <charset val="134"/>
      </rPr>
      <t>0：被动使用AI，掌握基础功能；能完成简单任务但深度不够，效率提升不明显；不排斥学习但主动性弱，分享少</t>
    </r>
    <r>
      <rPr>
        <sz val="9"/>
        <color rgb="FF000000"/>
        <rFont val="Microsoft YaHei"/>
        <charset val="134"/>
      </rPr>
      <t xml:space="preserve">
</t>
    </r>
    <r>
      <rPr>
        <sz val="9"/>
        <color rgb="FF000000"/>
        <rFont val="Microsoft YaHei"/>
        <charset val="134"/>
      </rPr>
      <t>0：尝试使用AI但不得法，效果差甚至降低效率；偶有抵触情绪，学习意愿低，未带来实际效益</t>
    </r>
    <r>
      <rPr>
        <sz val="9"/>
        <color rgb="FF000000"/>
        <rFont val="Microsoft YaHei"/>
        <charset val="134"/>
      </rPr>
      <t xml:space="preserve">
</t>
    </r>
    <r>
      <rPr>
        <sz val="9"/>
        <color rgb="FF000000"/>
        <rFont val="Microsoft YaHei"/>
        <charset val="134"/>
      </rPr>
      <t>0：拒绝使用AI，否定其价值；固守旧方法，效率低下；抵制学习，躺平摆烂，阻碍团队数字化进程</t>
    </r>
  </si>
  <si>
    <r>
      <rPr>
        <sz val="9"/>
        <color rgb="FF000000"/>
        <rFont val="Microsoft YaHei"/>
        <charset val="134"/>
      </rPr>
      <t>90–100：热爱服务与交付，以客户成功为成就，主动解决问题、扛事、优化。</t>
    </r>
    <r>
      <rPr>
        <sz val="9"/>
        <color rgb="FF000000"/>
        <rFont val="Microsoft YaHei"/>
        <charset val="134"/>
      </rPr>
      <t xml:space="preserve">
</t>
    </r>
    <r>
      <rPr>
        <sz val="9"/>
        <color rgb="FF000000"/>
        <rFont val="Microsoft YaHei"/>
        <charset val="134"/>
      </rPr>
      <t>80–89：认可服务价值，责任心强，主动跟进，耐心抗压。</t>
    </r>
    <r>
      <rPr>
        <sz val="9"/>
        <color rgb="FF000000"/>
        <rFont val="Microsoft YaHei"/>
        <charset val="134"/>
      </rPr>
      <t xml:space="preserve">
</t>
    </r>
    <r>
      <rPr>
        <sz val="9"/>
        <color rgb="FF000000"/>
        <rFont val="Microsoft YaHei"/>
        <charset val="134"/>
      </rPr>
      <t>0分：不排斥服务，能按流程完成，耐心尚可。</t>
    </r>
    <r>
      <rPr>
        <sz val="9"/>
        <color rgb="FF000000"/>
        <rFont val="Microsoft YaHei"/>
        <charset val="134"/>
      </rPr>
      <t xml:space="preserve">
</t>
    </r>
    <r>
      <rPr>
        <sz val="9"/>
        <color rgb="FF000000"/>
        <rFont val="Microsoft YaHei"/>
        <charset val="134"/>
      </rPr>
      <t>0分：兴趣一般，被动响应，易烦躁。</t>
    </r>
    <r>
      <rPr>
        <sz val="9"/>
        <color rgb="FF000000"/>
        <rFont val="Microsoft YaHei"/>
        <charset val="134"/>
      </rPr>
      <t xml:space="preserve">
</t>
    </r>
    <r>
      <rPr>
        <sz val="9"/>
        <color rgb="FF000000"/>
        <rFont val="Microsoft YaHei"/>
        <charset val="134"/>
      </rPr>
      <t>0分：讨厌服务、怕客户、怕麻烦，推诿敷衍。</t>
    </r>
  </si>
  <si>
    <r>
      <rPr>
        <sz val="9"/>
        <color rgb="FF000000"/>
        <rFont val="Microsoft YaHei"/>
        <charset val="134"/>
      </rPr>
      <t>100：数理竞赛 国奖 / 省一</t>
    </r>
    <r>
      <rPr>
        <sz val="9"/>
        <color rgb="FF000000"/>
        <rFont val="Microsoft YaHei"/>
        <charset val="134"/>
      </rPr>
      <t xml:space="preserve">
</t>
    </r>
    <r>
      <rPr>
        <sz val="9"/>
        <color rgb="FF000000"/>
        <rFont val="Microsoft YaHei"/>
        <charset val="134"/>
      </rPr>
      <t>90：高考数学 ≥ 135</t>
    </r>
    <r>
      <rPr>
        <sz val="9"/>
        <color rgb="FF000000"/>
        <rFont val="Microsoft YaHei"/>
        <charset val="134"/>
      </rPr>
      <t xml:space="preserve">
</t>
    </r>
    <r>
      <rPr>
        <sz val="9"/>
        <color rgb="FF000000"/>
        <rFont val="Microsoft YaHei"/>
        <charset val="134"/>
      </rPr>
      <t>80：高考数学≥211平均分</t>
    </r>
    <r>
      <rPr>
        <sz val="9"/>
        <color rgb="FF000000"/>
        <rFont val="Microsoft YaHei"/>
        <charset val="134"/>
      </rPr>
      <t xml:space="preserve">
</t>
    </r>
    <r>
      <rPr>
        <sz val="9"/>
        <color rgb="FF000000"/>
        <rFont val="Microsoft YaHei"/>
        <charset val="134"/>
      </rPr>
      <t>0：高考数学＜211平均分</t>
    </r>
  </si>
  <si>
    <r>
      <rPr>
        <sz val="9"/>
        <color rgb="FF000000"/>
        <rFont val="Microsoft YaHei"/>
        <charset val="134"/>
      </rPr>
      <t>100: 中档985</t>
    </r>
    <r>
      <rPr>
        <sz val="9"/>
        <color rgb="FF000000"/>
        <rFont val="Microsoft YaHei"/>
        <charset val="134"/>
      </rPr>
      <t xml:space="preserve">
</t>
    </r>
    <r>
      <rPr>
        <sz val="9"/>
        <color rgb="FF000000"/>
        <rFont val="Microsoft YaHei"/>
        <charset val="134"/>
      </rPr>
      <t>95：211专业对口和低档985</t>
    </r>
    <r>
      <rPr>
        <sz val="9"/>
        <color rgb="FF000000"/>
        <rFont val="Microsoft YaHei"/>
        <charset val="134"/>
      </rPr>
      <t xml:space="preserve">
</t>
    </r>
    <r>
      <rPr>
        <sz val="9"/>
        <color rgb="FF000000"/>
        <rFont val="Microsoft YaHei"/>
        <charset val="134"/>
      </rPr>
      <t>90：211对口以外的</t>
    </r>
    <r>
      <rPr>
        <sz val="9"/>
        <color rgb="FF000000"/>
        <rFont val="Microsoft YaHei"/>
        <charset val="134"/>
      </rPr>
      <t xml:space="preserve">
</t>
    </r>
    <r>
      <rPr>
        <sz val="9"/>
        <color rgb="FF000000"/>
        <rFont val="Microsoft YaHei"/>
        <charset val="134"/>
      </rPr>
      <t>85：双一流专业对口</t>
    </r>
    <r>
      <rPr>
        <sz val="9"/>
        <color rgb="FF000000"/>
        <rFont val="Microsoft YaHei"/>
        <charset val="134"/>
      </rPr>
      <t xml:space="preserve">
</t>
    </r>
    <r>
      <rPr>
        <sz val="9"/>
        <color rgb="FF000000"/>
        <rFont val="Microsoft YaHei"/>
        <charset val="134"/>
      </rPr>
      <t>80：普通本科专业对口</t>
    </r>
    <r>
      <rPr>
        <sz val="9"/>
        <color rgb="FF000000"/>
        <rFont val="Microsoft YaHei"/>
        <charset val="134"/>
      </rPr>
      <t xml:space="preserve">
</t>
    </r>
    <r>
      <rPr>
        <sz val="9"/>
        <color rgb="FF000000"/>
        <rFont val="Microsoft YaHei"/>
        <charset val="134"/>
      </rPr>
      <t>0：低于普通本科对口</t>
    </r>
  </si>
  <si>
    <r>
      <rPr>
        <sz val="9"/>
        <color rgb="FF000000"/>
        <rFont val="Microsoft YaHei"/>
        <charset val="134"/>
      </rPr>
      <t>100：一眼穿透本质，复杂→极简</t>
    </r>
    <r>
      <rPr>
        <sz val="9"/>
        <color rgb="FF000000"/>
        <rFont val="Microsoft YaHei"/>
        <charset val="134"/>
      </rPr>
      <t xml:space="preserve">
</t>
    </r>
    <r>
      <rPr>
        <sz val="9"/>
        <color rgb="FF000000"/>
        <rFont val="Microsoft YaHei"/>
        <charset val="134"/>
      </rPr>
      <t>90：结构化梳理，剔除冗余</t>
    </r>
    <r>
      <rPr>
        <sz val="9"/>
        <color rgb="FF000000"/>
        <rFont val="Microsoft YaHei"/>
        <charset val="134"/>
      </rPr>
      <t xml:space="preserve">
</t>
    </r>
    <r>
      <rPr>
        <sz val="9"/>
        <color rgb="FF000000"/>
        <rFont val="Microsoft YaHei"/>
        <charset val="134"/>
      </rPr>
      <t>80：能讲清楚，但不够精炼</t>
    </r>
    <r>
      <rPr>
        <sz val="9"/>
        <color rgb="FF000000"/>
        <rFont val="Microsoft YaHei"/>
        <charset val="134"/>
      </rPr>
      <t xml:space="preserve">
</t>
    </r>
    <r>
      <rPr>
        <sz val="9"/>
        <color rgb="FF000000"/>
        <rFont val="Microsoft YaHei"/>
        <charset val="134"/>
      </rPr>
      <t>0：重点模糊，表达偏散</t>
    </r>
    <r>
      <rPr>
        <sz val="9"/>
        <color rgb="FF000000"/>
        <rFont val="Microsoft YaHei"/>
        <charset val="134"/>
      </rPr>
      <t xml:space="preserve">
</t>
    </r>
    <r>
      <rPr>
        <sz val="9"/>
        <color rgb="FF000000"/>
        <rFont val="Microsoft YaHei"/>
        <charset val="134"/>
      </rPr>
      <t>0：越讲越复杂，无结构</t>
    </r>
  </si>
  <si>
    <r>
      <rPr>
        <sz val="9"/>
        <color rgb="FF000000"/>
        <rFont val="Microsoft YaHei"/>
        <charset val="134"/>
      </rPr>
      <t>90–100：极度耐心稳定，先安抚再解决，扛压扛委屈，能化解冲突、建立信任。</t>
    </r>
    <r>
      <rPr>
        <sz val="9"/>
        <color rgb="FF000000"/>
        <rFont val="Microsoft YaHei"/>
        <charset val="134"/>
      </rPr>
      <t xml:space="preserve">
</t>
    </r>
    <r>
      <rPr>
        <sz val="9"/>
        <color rgb="FF000000"/>
        <rFont val="Microsoft YaHei"/>
        <charset val="134"/>
      </rPr>
      <t>80–89：情绪稳定，会安抚客户，冲突理性处理。</t>
    </r>
    <r>
      <rPr>
        <sz val="9"/>
        <color rgb="FF000000"/>
        <rFont val="Microsoft YaHei"/>
        <charset val="134"/>
      </rPr>
      <t xml:space="preserve">
</t>
    </r>
    <r>
      <rPr>
        <sz val="9"/>
        <color rgb="FF000000"/>
        <rFont val="Microsoft YaHei"/>
        <charset val="134"/>
      </rPr>
      <t>70–79：基本耐心，职业规范内沟通正常。</t>
    </r>
    <r>
      <rPr>
        <sz val="9"/>
        <color rgb="FF000000"/>
        <rFont val="Microsoft YaHei"/>
        <charset val="134"/>
      </rPr>
      <t xml:space="preserve">
</t>
    </r>
    <r>
      <rPr>
        <sz val="9"/>
        <color rgb="FF000000"/>
        <rFont val="Microsoft YaHei"/>
        <charset val="134"/>
      </rPr>
      <t>0：耐心不足，易烦躁，态度易受影响。</t>
    </r>
    <r>
      <rPr>
        <sz val="9"/>
        <color rgb="FF000000"/>
        <rFont val="Microsoft YaHei"/>
        <charset val="134"/>
      </rPr>
      <t xml:space="preserve">
</t>
    </r>
    <r>
      <rPr>
        <sz val="9"/>
        <color rgb="FF000000"/>
        <rFont val="Microsoft YaHei"/>
        <charset val="134"/>
      </rPr>
      <t>0：情绪易爆，怼客户、甩脸色，破坏口碑。</t>
    </r>
  </si>
  <si>
    <r>
      <rPr>
        <sz val="9"/>
        <color rgb="FF000000"/>
        <rFont val="Microsoft YaHei"/>
        <charset val="134"/>
      </rPr>
      <t>90–100：问题不解决不离场，紧急故障主动扛，再苦再累也要交付成功。</t>
    </r>
    <r>
      <rPr>
        <sz val="9"/>
        <color rgb="FF000000"/>
        <rFont val="Microsoft YaHei"/>
        <charset val="134"/>
      </rPr>
      <t xml:space="preserve">
</t>
    </r>
    <r>
      <rPr>
        <sz val="9"/>
        <color rgb="FF000000"/>
        <rFont val="Microsoft YaHei"/>
        <charset val="134"/>
      </rPr>
      <t>80–89：以客户成功为底线，敢担责、不甩锅，问题闭环到底。</t>
    </r>
    <r>
      <rPr>
        <sz val="9"/>
        <color rgb="FF000000"/>
        <rFont val="Microsoft YaHei"/>
        <charset val="134"/>
      </rPr>
      <t xml:space="preserve">
</t>
    </r>
    <r>
      <rPr>
        <sz val="9"/>
        <color rgb="FF000000"/>
        <rFont val="Microsoft YaHei"/>
        <charset val="134"/>
      </rPr>
      <t>0：能按要求完成交付，有基本责任心。</t>
    </r>
    <r>
      <rPr>
        <sz val="9"/>
        <color rgb="FF000000"/>
        <rFont val="Microsoft YaHei"/>
        <charset val="134"/>
      </rPr>
      <t xml:space="preserve">
</t>
    </r>
    <r>
      <rPr>
        <sz val="9"/>
        <color rgb="FF000000"/>
        <rFont val="Microsoft YaHei"/>
        <charset val="134"/>
      </rPr>
      <t>0：怕麻烦怕加班，被动应付，主动性弱。</t>
    </r>
    <r>
      <rPr>
        <sz val="9"/>
        <color rgb="FF000000"/>
        <rFont val="Microsoft YaHei"/>
        <charset val="134"/>
      </rPr>
      <t xml:space="preserve">
</t>
    </r>
    <r>
      <rPr>
        <sz val="9"/>
        <color rgb="FF000000"/>
        <rFont val="Microsoft YaHei"/>
        <charset val="134"/>
      </rPr>
      <t>0：怕担责、敷衍推诿、情绪优先。</t>
    </r>
  </si>
  <si>
    <r>
      <rPr>
        <sz val="9"/>
        <color rgb="FF000000"/>
        <rFont val="Microsoft YaHei"/>
        <charset val="134"/>
      </rPr>
      <t>80-100：非常积极</t>
    </r>
    <r>
      <rPr>
        <sz val="9"/>
        <color rgb="FF000000"/>
        <rFont val="Microsoft YaHei"/>
        <charset val="134"/>
      </rPr>
      <t xml:space="preserve">
</t>
    </r>
    <r>
      <rPr>
        <sz val="9"/>
        <color rgb="FF000000"/>
        <rFont val="Microsoft YaHei"/>
        <charset val="134"/>
      </rPr>
      <t>60-80：积极</t>
    </r>
    <r>
      <rPr>
        <sz val="9"/>
        <color rgb="FF000000"/>
        <rFont val="Microsoft YaHei"/>
        <charset val="134"/>
      </rPr>
      <t xml:space="preserve">
</t>
    </r>
    <r>
      <rPr>
        <sz val="9"/>
        <color rgb="FF000000"/>
        <rFont val="Microsoft YaHei"/>
        <charset val="134"/>
      </rPr>
      <t>0：不积极</t>
    </r>
  </si>
  <si>
    <t>95~100分：硬能力认证 5级
90~95分：硬能力认证 4级
80~90分：硬能力认证 3级
70~80分：硬能力认证2级
60~70分：硬能力认证1级
&lt;60分：不合格，淘汰</t>
  </si>
  <si>
    <r>
      <rPr>
        <sz val="9"/>
        <color rgb="FF000000"/>
        <rFont val="Microsoft YaHei"/>
        <charset val="134"/>
      </rPr>
      <t>95~100分：软能力认证 5级</t>
    </r>
    <r>
      <rPr>
        <sz val="9"/>
        <color rgb="FF000000"/>
        <rFont val="Microsoft YaHei"/>
        <charset val="134"/>
      </rPr>
      <t xml:space="preserve">
</t>
    </r>
    <r>
      <rPr>
        <sz val="9"/>
        <color rgb="FF000000"/>
        <rFont val="Microsoft YaHei"/>
        <charset val="134"/>
      </rPr>
      <t>90~95分：软能力认证 4级</t>
    </r>
    <r>
      <rPr>
        <sz val="9"/>
        <color rgb="FF000000"/>
        <rFont val="Microsoft YaHei"/>
        <charset val="134"/>
      </rPr>
      <t xml:space="preserve">
</t>
    </r>
    <r>
      <rPr>
        <sz val="9"/>
        <color rgb="FF000000"/>
        <rFont val="Microsoft YaHei"/>
        <charset val="134"/>
      </rPr>
      <t>80~90分：软能力认证 3级</t>
    </r>
    <r>
      <rPr>
        <sz val="9"/>
        <color rgb="FF000000"/>
        <rFont val="Microsoft YaHei"/>
        <charset val="134"/>
      </rPr>
      <t xml:space="preserve">
</t>
    </r>
    <r>
      <rPr>
        <sz val="9"/>
        <color rgb="FF000000"/>
        <rFont val="Microsoft YaHei"/>
        <charset val="134"/>
      </rPr>
      <t>70~80分：软能力认证 2级</t>
    </r>
    <r>
      <rPr>
        <sz val="9"/>
        <color rgb="FF000000"/>
        <rFont val="Microsoft YaHei"/>
        <charset val="134"/>
      </rPr>
      <t xml:space="preserve">
</t>
    </r>
    <r>
      <rPr>
        <sz val="9"/>
        <color rgb="FF000000"/>
        <rFont val="Microsoft YaHei"/>
        <charset val="134"/>
      </rPr>
      <t>60~70分：软能力认证 1级</t>
    </r>
    <r>
      <rPr>
        <sz val="9"/>
        <color rgb="FF000000"/>
        <rFont val="Microsoft YaHei"/>
        <charset val="134"/>
      </rPr>
      <t xml:space="preserve">
</t>
    </r>
    <r>
      <rPr>
        <sz val="9"/>
        <color rgb="FF000000"/>
        <rFont val="Microsoft YaHei"/>
        <charset val="134"/>
      </rPr>
      <t>&lt;60分：不合格，淘汰</t>
    </r>
  </si>
  <si>
    <t>收款</t>
  </si>
  <si>
    <r>
      <rPr>
        <sz val="9"/>
        <color rgb="FF000000"/>
        <rFont val="Microsoft YaHei"/>
        <charset val="134"/>
      </rPr>
      <t>收款及时率同档排名</t>
    </r>
    <r>
      <rPr>
        <sz val="9"/>
        <color rgb="FF000000"/>
        <rFont val="Microsoft YaHei"/>
        <charset val="134"/>
      </rPr>
      <t xml:space="preserve">
</t>
    </r>
    <r>
      <rPr>
        <sz val="9"/>
        <color rgb="FF000000"/>
        <rFont val="Microsoft YaHei"/>
        <charset val="134"/>
      </rPr>
      <t>80-100：5级：及时率排名top 10%</t>
    </r>
    <r>
      <rPr>
        <sz val="9"/>
        <color rgb="FF000000"/>
        <rFont val="Microsoft YaHei"/>
        <charset val="134"/>
      </rPr>
      <t xml:space="preserve">
</t>
    </r>
    <r>
      <rPr>
        <sz val="9"/>
        <color rgb="FF000000"/>
        <rFont val="Microsoft YaHei"/>
        <charset val="134"/>
      </rPr>
      <t>60-80：4级：及时率排名top 30%</t>
    </r>
    <r>
      <rPr>
        <sz val="9"/>
        <color rgb="FF000000"/>
        <rFont val="Microsoft YaHei"/>
        <charset val="134"/>
      </rPr>
      <t xml:space="preserve">
</t>
    </r>
    <r>
      <rPr>
        <sz val="9"/>
        <color rgb="FF000000"/>
        <rFont val="Microsoft YaHei"/>
        <charset val="134"/>
      </rPr>
      <t>40-60：3级：及时率排名top 70%</t>
    </r>
    <r>
      <rPr>
        <sz val="9"/>
        <color rgb="FF000000"/>
        <rFont val="Microsoft YaHei"/>
        <charset val="134"/>
      </rPr>
      <t xml:space="preserve">
</t>
    </r>
    <r>
      <rPr>
        <sz val="9"/>
        <color rgb="FF000000"/>
        <rFont val="Microsoft YaHei"/>
        <charset val="134"/>
      </rPr>
      <t>20-40：2级：及时率排名top 90%</t>
    </r>
    <r>
      <rPr>
        <sz val="9"/>
        <color rgb="FF000000"/>
        <rFont val="Microsoft YaHei"/>
        <charset val="134"/>
      </rPr>
      <t xml:space="preserve">
</t>
    </r>
    <r>
      <rPr>
        <sz val="9"/>
        <color rgb="FF000000"/>
        <rFont val="Microsoft YaHei"/>
        <charset val="134"/>
      </rPr>
      <t>0-20：1级：及时率排名后10%</t>
    </r>
  </si>
  <si>
    <t>扩项</t>
  </si>
  <si>
    <r>
      <rPr>
        <sz val="9"/>
        <color rgb="FF000000"/>
        <rFont val="Microsoft YaHei"/>
        <charset val="134"/>
      </rPr>
      <t>扩项金额同档排名：</t>
    </r>
    <r>
      <rPr>
        <sz val="9"/>
        <color rgb="FF000000"/>
        <rFont val="Microsoft YaHei"/>
        <charset val="134"/>
      </rPr>
      <t xml:space="preserve">
</t>
    </r>
    <r>
      <rPr>
        <sz val="9"/>
        <color rgb="FF000000"/>
        <rFont val="Microsoft YaHei"/>
        <charset val="134"/>
      </rPr>
      <t>80-100：5级：扩项排名top 10%</t>
    </r>
    <r>
      <rPr>
        <sz val="9"/>
        <color rgb="FF000000"/>
        <rFont val="Microsoft YaHei"/>
        <charset val="134"/>
      </rPr>
      <t xml:space="preserve">
</t>
    </r>
    <r>
      <rPr>
        <sz val="9"/>
        <color rgb="FF000000"/>
        <rFont val="Microsoft YaHei"/>
        <charset val="134"/>
      </rPr>
      <t>60-80：4级：扩项排名top 30%</t>
    </r>
    <r>
      <rPr>
        <sz val="9"/>
        <color rgb="FF000000"/>
        <rFont val="Microsoft YaHei"/>
        <charset val="134"/>
      </rPr>
      <t xml:space="preserve">
</t>
    </r>
    <r>
      <rPr>
        <sz val="9"/>
        <color rgb="FF000000"/>
        <rFont val="Microsoft YaHei"/>
        <charset val="134"/>
      </rPr>
      <t>40-60：3级：扩项排名top 70%</t>
    </r>
    <r>
      <rPr>
        <sz val="9"/>
        <color rgb="FF000000"/>
        <rFont val="Microsoft YaHei"/>
        <charset val="134"/>
      </rPr>
      <t xml:space="preserve">
</t>
    </r>
    <r>
      <rPr>
        <sz val="9"/>
        <color rgb="FF000000"/>
        <rFont val="Microsoft YaHei"/>
        <charset val="134"/>
      </rPr>
      <t>20-40：2级：扩项排名top 90%</t>
    </r>
    <r>
      <rPr>
        <sz val="9"/>
        <color rgb="FF000000"/>
        <rFont val="Microsoft YaHei"/>
        <charset val="134"/>
      </rPr>
      <t xml:space="preserve">
</t>
    </r>
    <r>
      <rPr>
        <sz val="9"/>
        <color rgb="FF000000"/>
        <rFont val="Microsoft YaHei"/>
        <charset val="134"/>
      </rPr>
      <t>0-20：1级：扩项排名后10%</t>
    </r>
  </si>
  <si>
    <t>赢单（POC适用，替代收款+扩项）</t>
  </si>
  <si>
    <r>
      <rPr>
        <sz val="9"/>
        <color rgb="FF000000"/>
        <rFont val="Microsoft YaHei"/>
        <charset val="134"/>
      </rPr>
      <t>人效+签单率 同档排名</t>
    </r>
    <r>
      <rPr>
        <sz val="9"/>
        <color rgb="FF000000"/>
        <rFont val="Microsoft YaHei"/>
        <charset val="134"/>
      </rPr>
      <t xml:space="preserve">
</t>
    </r>
    <r>
      <rPr>
        <sz val="9"/>
        <color rgb="FF000000"/>
        <rFont val="Microsoft YaHei"/>
        <charset val="134"/>
      </rPr>
      <t>80-100：5级：人效+签单率 排名top 10%</t>
    </r>
    <r>
      <rPr>
        <sz val="9"/>
        <color rgb="FF000000"/>
        <rFont val="Microsoft YaHei"/>
        <charset val="134"/>
      </rPr>
      <t xml:space="preserve">
</t>
    </r>
    <r>
      <rPr>
        <sz val="9"/>
        <color rgb="FF000000"/>
        <rFont val="Microsoft YaHei"/>
        <charset val="134"/>
      </rPr>
      <t>60-80：4级：人效+签单率 排名top 30%</t>
    </r>
    <r>
      <rPr>
        <sz val="9"/>
        <color rgb="FF000000"/>
        <rFont val="Microsoft YaHei"/>
        <charset val="134"/>
      </rPr>
      <t xml:space="preserve">
</t>
    </r>
    <r>
      <rPr>
        <sz val="9"/>
        <color rgb="FF000000"/>
        <rFont val="Microsoft YaHei"/>
        <charset val="134"/>
      </rPr>
      <t>40-60：3级：人效+签单率 排名top 70%</t>
    </r>
    <r>
      <rPr>
        <sz val="9"/>
        <color rgb="FF000000"/>
        <rFont val="Microsoft YaHei"/>
        <charset val="134"/>
      </rPr>
      <t xml:space="preserve">
</t>
    </r>
    <r>
      <rPr>
        <sz val="9"/>
        <color rgb="FF000000"/>
        <rFont val="Microsoft YaHei"/>
        <charset val="134"/>
      </rPr>
      <t>20-40：2级：人效+签单率 排名top 90%</t>
    </r>
    <r>
      <rPr>
        <sz val="9"/>
        <color rgb="FF000000"/>
        <rFont val="Microsoft YaHei"/>
        <charset val="134"/>
      </rPr>
      <t xml:space="preserve">
</t>
    </r>
    <r>
      <rPr>
        <sz val="9"/>
        <color rgb="FF000000"/>
        <rFont val="Microsoft YaHei"/>
        <charset val="134"/>
      </rPr>
      <t>0-20：1级：人效+签单率 排名后10%</t>
    </r>
  </si>
  <si>
    <r>
      <rPr>
        <sz val="9"/>
        <color rgb="FF000000"/>
        <rFont val="Microsoft YaHei"/>
        <charset val="134"/>
      </rPr>
      <t>90-100：慧眼识人，精准识别高潜，敢于任用能力强于自己的人；人岗匹配、用人所长，骨干梯队健康、不断涌现。</t>
    </r>
    <r>
      <rPr>
        <sz val="9"/>
        <color rgb="FF000000"/>
        <rFont val="Microsoft YaHei"/>
        <charset val="134"/>
      </rPr>
      <t xml:space="preserve">
</t>
    </r>
    <r>
      <rPr>
        <sz val="9"/>
        <color rgb="FF000000"/>
        <rFont val="Microsoft YaHei"/>
        <charset val="134"/>
      </rPr>
      <t>80-89：能识别优秀人才，任用基本合理；骨干队伍稳定，能支撑业务，偶有偏差能及时调整。</t>
    </r>
    <r>
      <rPr>
        <sz val="9"/>
        <color rgb="FF000000"/>
        <rFont val="Microsoft YaHei"/>
        <charset val="134"/>
      </rPr>
      <t xml:space="preserve">
</t>
    </r>
    <r>
      <rPr>
        <sz val="9"/>
        <color rgb="FF000000"/>
        <rFont val="Microsoft YaHei"/>
        <charset val="134"/>
      </rPr>
      <t>70-79：识人眼光一般，任用存在错配，但骨干队伍基本稳定。</t>
    </r>
    <r>
      <rPr>
        <sz val="9"/>
        <color rgb="FF000000"/>
        <rFont val="Microsoft YaHei"/>
        <charset val="134"/>
      </rPr>
      <t xml:space="preserve">
</t>
    </r>
    <r>
      <rPr>
        <sz val="9"/>
        <color rgb="FF000000"/>
        <rFont val="Microsoft YaHei"/>
        <charset val="134"/>
      </rPr>
      <t>60-69：识人眼光差，频繁用错人；骨干流失严重或长期空缺，影响团队战斗力。</t>
    </r>
    <r>
      <rPr>
        <sz val="9"/>
        <color rgb="FF000000"/>
        <rFont val="Microsoft YaHei"/>
        <charset val="134"/>
      </rPr>
      <t xml:space="preserve">
</t>
    </r>
    <r>
      <rPr>
        <sz val="9"/>
        <color rgb="FF000000"/>
        <rFont val="Microsoft YaHei"/>
        <charset val="134"/>
      </rPr>
      <t>&lt;60：嫉贤妒能，压制人才；团队投诉多；团队无骨干或骨干全是庸才，团队溃散。</t>
    </r>
  </si>
  <si>
    <r>
      <rPr>
        <sz val="9"/>
        <color rgb="FF000000"/>
        <rFont val="Microsoft YaHei"/>
        <charset val="134"/>
      </rPr>
      <t>90-100：精准拆解战略目标，路径清晰、节点明确、资源匹配合理；预见性识别关键风险并提前布局；团队对目标和节奏高度认同，执行顺畅无偏差。</t>
    </r>
    <r>
      <rPr>
        <sz val="9"/>
        <color rgb="FF000000"/>
        <rFont val="Microsoft YaHei"/>
        <charset val="134"/>
      </rPr>
      <t xml:space="preserve">
</t>
    </r>
    <r>
      <rPr>
        <sz val="9"/>
        <color rgb="FF000000"/>
        <rFont val="Microsoft YaHei"/>
        <charset val="134"/>
      </rPr>
      <t>80-89：能制定清晰计划，目标拆解合理，关键节点明确；主要风险有预案，执行基本顺畅，偶需微调。</t>
    </r>
    <r>
      <rPr>
        <sz val="9"/>
        <color rgb="FF000000"/>
        <rFont val="Microsoft YaHei"/>
        <charset val="134"/>
      </rPr>
      <t xml:space="preserve">
</t>
    </r>
    <r>
      <rPr>
        <sz val="9"/>
        <color rgb="FF000000"/>
        <rFont val="Microsoft YaHei"/>
        <charset val="134"/>
      </rPr>
      <t>70-79：计划基本可行，但细节不够完善或资源考虑不周；风险识别不全，执行中需多次调整方向。</t>
    </r>
    <r>
      <rPr>
        <sz val="9"/>
        <color rgb="FF000000"/>
        <rFont val="Microsoft YaHei"/>
        <charset val="134"/>
      </rPr>
      <t xml:space="preserve">
</t>
    </r>
    <r>
      <rPr>
        <sz val="9"/>
        <color rgb="FF000000"/>
        <rFont val="Microsoft YaHei"/>
        <charset val="134"/>
      </rPr>
      <t>60-69：计划粗糙，拆解不清，路径模糊；风险频发且应对被动，执行混乱，多次返工或延期。</t>
    </r>
    <r>
      <rPr>
        <sz val="9"/>
        <color rgb="FF000000"/>
        <rFont val="Microsoft YaHei"/>
        <charset val="134"/>
      </rPr>
      <t xml:space="preserve">
</t>
    </r>
    <r>
      <rPr>
        <sz val="9"/>
        <color rgb="FF000000"/>
        <rFont val="Microsoft YaHei"/>
        <charset val="134"/>
      </rPr>
      <t>&lt;60：无计划或计划完全不可行，项目推进失控，频繁失败。</t>
    </r>
  </si>
  <si>
    <t>提升人效</t>
  </si>
  <si>
    <r>
      <rPr>
        <sz val="9"/>
        <color rgb="FF000000"/>
        <rFont val="Microsoft YaHei"/>
        <charset val="134"/>
      </rPr>
      <t>90-100：人效显著高于同规模团队；持续优化流程、工具和方法，激发团队潜能；人才培养体系完善，新人上手快、老人持续成长。</t>
    </r>
    <r>
      <rPr>
        <sz val="9"/>
        <color rgb="FF000000"/>
        <rFont val="Microsoft YaHei"/>
        <charset val="134"/>
      </rPr>
      <t xml:space="preserve">
</t>
    </r>
    <r>
      <rPr>
        <sz val="9"/>
        <color rgb="FF000000"/>
        <rFont val="Microsoft YaHei"/>
        <charset val="134"/>
      </rPr>
      <t>80-89：能完成业务目标；推动流程优化和工具应用，关注人才培养，有带出骨干。</t>
    </r>
    <r>
      <rPr>
        <sz val="9"/>
        <color rgb="FF000000"/>
        <rFont val="Microsoft YaHei"/>
        <charset val="134"/>
      </rPr>
      <t xml:space="preserve">
</t>
    </r>
    <r>
      <rPr>
        <sz val="9"/>
        <color rgb="FF000000"/>
        <rFont val="Microsoft YaHei"/>
        <charset val="134"/>
      </rPr>
      <t>70-79：勉强完成目标；流程工具基本到位但缺乏主动优化；人才培养偶有亮点但不系统。</t>
    </r>
    <r>
      <rPr>
        <sz val="9"/>
        <color rgb="FF000000"/>
        <rFont val="Microsoft YaHei"/>
        <charset val="134"/>
      </rPr>
      <t xml:space="preserve">
</t>
    </r>
    <r>
      <rPr>
        <sz val="9"/>
        <color rgb="FF000000"/>
        <rFont val="Microsoft YaHei"/>
        <charset val="134"/>
      </rPr>
      <t>60-69：经常加班却产出不佳；流程混乱，工具落后，士气低落；忽视人才培养，新人成长慢。</t>
    </r>
    <r>
      <rPr>
        <sz val="9"/>
        <color rgb="FF000000"/>
        <rFont val="Microsoft YaHei"/>
        <charset val="134"/>
      </rPr>
      <t xml:space="preserve">
</t>
    </r>
    <r>
      <rPr>
        <sz val="9"/>
        <color rgb="FF000000"/>
        <rFont val="Microsoft YaHei"/>
        <charset val="134"/>
      </rPr>
      <t>&lt;60：产出无法支撑业务，流程僵化或缺失，士气崩坏；无人可用，成为业务瓶颈。</t>
    </r>
  </si>
  <si>
    <r>
      <rPr>
        <b/>
        <sz val="9"/>
        <color rgb="FF000000"/>
        <rFont val="Microsoft YaHei"/>
        <charset val="134"/>
      </rPr>
      <t>单元：60</t>
    </r>
    <r>
      <rPr>
        <sz val="9"/>
        <color rgb="FF000000"/>
        <rFont val="Microsoft YaHei"/>
        <charset val="134"/>
      </rPr>
      <t xml:space="preserve">
</t>
    </r>
    <r>
      <rPr>
        <b/>
        <sz val="9"/>
        <color rgb="FF000000"/>
        <rFont val="Microsoft YaHei"/>
        <charset val="134"/>
      </rPr>
      <t>非单元：50</t>
    </r>
  </si>
  <si>
    <t>评级来源</t>
  </si>
  <si>
    <r>
      <rPr>
        <sz val="9"/>
        <color rgb="FF000000"/>
        <rFont val="Microsoft YaHei"/>
        <charset val="134"/>
      </rPr>
      <t>≥90：A+</t>
    </r>
    <r>
      <rPr>
        <sz val="9"/>
        <color rgb="FF000000"/>
        <rFont val="Microsoft YaHei"/>
        <charset val="134"/>
      </rPr>
      <t xml:space="preserve">
</t>
    </r>
    <r>
      <rPr>
        <sz val="9"/>
        <color rgb="FF000000"/>
        <rFont val="Microsoft YaHei"/>
        <charset val="134"/>
      </rPr>
      <t>≥75：A</t>
    </r>
    <r>
      <rPr>
        <sz val="9"/>
        <color rgb="FF000000"/>
        <rFont val="Microsoft YaHei"/>
        <charset val="134"/>
      </rPr>
      <t xml:space="preserve">
</t>
    </r>
    <r>
      <rPr>
        <sz val="9"/>
        <color rgb="FF000000"/>
        <rFont val="Microsoft YaHei"/>
        <charset val="134"/>
      </rPr>
      <t>≥60：B</t>
    </r>
    <r>
      <rPr>
        <sz val="9"/>
        <color rgb="FF000000"/>
        <rFont val="Microsoft YaHei"/>
        <charset val="134"/>
      </rPr>
      <t xml:space="preserve">
</t>
    </r>
    <r>
      <rPr>
        <sz val="9"/>
        <color rgb="FF000000"/>
        <rFont val="Microsoft YaHei"/>
        <charset val="134"/>
      </rPr>
      <t>≥40：C</t>
    </r>
    <r>
      <rPr>
        <sz val="9"/>
        <color rgb="FF000000"/>
        <rFont val="Microsoft YaHei"/>
        <charset val="134"/>
      </rPr>
      <t xml:space="preserve">
</t>
    </r>
    <r>
      <rPr>
        <sz val="9"/>
        <color rgb="FF000000"/>
        <rFont val="Microsoft YaHei"/>
        <charset val="134"/>
      </rPr>
      <t>&lt;40: D</t>
    </r>
  </si>
  <si>
    <r>
      <rPr>
        <sz val="9"/>
        <color rgb="FF000000"/>
        <rFont val="Microsoft YaHei"/>
        <charset val="134"/>
      </rPr>
      <t>试用期：试用期目标达成情况</t>
    </r>
    <r>
      <rPr>
        <sz val="9"/>
        <color rgb="FF000000"/>
        <rFont val="Microsoft YaHei"/>
        <charset val="134"/>
      </rPr>
      <t xml:space="preserve">
</t>
    </r>
    <r>
      <rPr>
        <sz val="9"/>
        <color rgb="FF000000"/>
        <rFont val="Microsoft YaHei"/>
        <charset val="134"/>
      </rPr>
      <t>转正后&amp;晋级：年度目标达成情况，参考通道图</t>
    </r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</si>
</sst>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8">
    <font>
      <sz val="11"/>
      <color theme="1"/>
      <name val="等线"/>
      <charset val="134"/>
      <scheme val="minor"/>
    </font>
    <font>
      <b/>
      <sz val="9"/>
      <color rgb="FFFFFFFF"/>
      <name val="Microsoft YaHei"/>
      <charset val="134"/>
    </font>
    <font>
      <b/>
      <sz val="9"/>
      <color rgb="FF000000"/>
      <name val="Microsoft YaHei"/>
      <charset val="134"/>
    </font>
    <font>
      <sz val="9"/>
      <color rgb="FF000000"/>
      <name val="Microsoft YaHei"/>
      <charset val="134"/>
    </font>
    <font>
      <b/>
      <sz val="12"/>
      <color rgb="FFFFFFFF"/>
      <name val="微软雅黑 Light"/>
      <charset val="134"/>
    </font>
    <font>
      <b/>
      <sz val="10"/>
      <color rgb="FFFFFFFF"/>
      <name val="微软雅黑 Light"/>
      <charset val="134"/>
    </font>
    <font>
      <b/>
      <sz val="10"/>
      <color rgb="FFFFFFFF"/>
      <name val="等线"/>
      <charset val="134"/>
      <scheme val="minor"/>
    </font>
    <font>
      <b/>
      <sz val="10"/>
      <color rgb="FF000000"/>
      <name val="微软雅黑 Light"/>
      <charset val="134"/>
    </font>
    <font>
      <sz val="10"/>
      <color rgb="FF000000"/>
      <name val="微软雅黑 Light"/>
      <charset val="134"/>
    </font>
    <font>
      <sz val="10"/>
      <color rgb="FFFF0000"/>
      <name val="等线"/>
      <charset val="134"/>
      <scheme val="minor"/>
    </font>
    <font>
      <sz val="10"/>
      <color rgb="FF000000"/>
      <name val="等线"/>
      <charset val="134"/>
      <scheme val="minor"/>
    </font>
    <font>
      <b/>
      <sz val="10"/>
      <color rgb="FF000000"/>
      <name val="等线"/>
      <charset val="134"/>
      <scheme val="minor"/>
    </font>
    <font>
      <sz val="11"/>
      <color theme="1"/>
      <name val="微软雅黑"/>
      <charset val="134"/>
    </font>
    <font>
      <b/>
      <sz val="12"/>
      <color theme="0"/>
      <name val="微软雅黑"/>
      <charset val="134"/>
    </font>
    <font>
      <sz val="11"/>
      <name val="微软雅黑"/>
      <charset val="134"/>
    </font>
    <font>
      <sz val="11"/>
      <color rgb="FFFF0000"/>
      <name val="微软雅黑"/>
      <charset val="134"/>
    </font>
    <font>
      <sz val="11"/>
      <color rgb="FF000000"/>
      <name val="等线"/>
      <charset val="134"/>
      <scheme val="minor"/>
    </font>
    <font>
      <b/>
      <sz val="11"/>
      <color theme="0"/>
      <name val="微软雅黑"/>
      <charset val="134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sz val="11"/>
      <color theme="1"/>
      <name val="宋体-简"/>
      <charset val="134"/>
    </font>
  </fonts>
  <fills count="50">
    <fill>
      <patternFill patternType="none"/>
    </fill>
    <fill>
      <patternFill patternType="gray125"/>
    </fill>
    <fill>
      <patternFill patternType="solid">
        <fgColor rgb="FFEE822F"/>
        <bgColor indexed="64"/>
      </patternFill>
    </fill>
    <fill>
      <patternFill patternType="solid">
        <fgColor rgb="FFF88825"/>
        <bgColor indexed="64"/>
      </patternFill>
    </fill>
    <fill>
      <patternFill patternType="solid">
        <fgColor rgb="FFED7D31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7" tint="0.799890133365886"/>
        <bgColor indexed="64"/>
      </patternFill>
    </fill>
    <fill>
      <patternFill patternType="solid">
        <fgColor theme="9" tint="0.799737540818506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7" tint="0.79985961485641"/>
        <bgColor indexed="64"/>
      </patternFill>
    </fill>
    <fill>
      <patternFill patternType="solid">
        <fgColor theme="9" tint="0.79970702230903"/>
        <bgColor indexed="64"/>
      </patternFill>
    </fill>
    <fill>
      <patternFill patternType="solid">
        <fgColor theme="7" tint="0.799829096346934"/>
        <bgColor indexed="64"/>
      </patternFill>
    </fill>
    <fill>
      <patternFill patternType="solid">
        <fgColor theme="9" tint="0.79967650379955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799768059327982"/>
        <bgColor indexed="64"/>
      </patternFill>
    </fill>
    <fill>
      <patternFill patternType="solid">
        <fgColor theme="7" tint="0.79992065187536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3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0" fillId="19" borderId="24" applyNumberFormat="0" applyFont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3" fillId="0" borderId="25" applyNumberFormat="0" applyFill="0" applyAlignment="0" applyProtection="0">
      <alignment vertical="center"/>
    </xf>
    <xf numFmtId="0" fontId="24" fillId="0" borderId="25" applyNumberFormat="0" applyFill="0" applyAlignment="0" applyProtection="0">
      <alignment vertical="center"/>
    </xf>
    <xf numFmtId="0" fontId="25" fillId="0" borderId="26" applyNumberFormat="0" applyFill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6" fillId="20" borderId="27" applyNumberFormat="0" applyAlignment="0" applyProtection="0">
      <alignment vertical="center"/>
    </xf>
    <xf numFmtId="0" fontId="27" fillId="21" borderId="28" applyNumberFormat="0" applyAlignment="0" applyProtection="0">
      <alignment vertical="center"/>
    </xf>
    <xf numFmtId="0" fontId="28" fillId="21" borderId="27" applyNumberFormat="0" applyAlignment="0" applyProtection="0">
      <alignment vertical="center"/>
    </xf>
    <xf numFmtId="0" fontId="29" fillId="22" borderId="29" applyNumberFormat="0" applyAlignment="0" applyProtection="0">
      <alignment vertical="center"/>
    </xf>
    <xf numFmtId="0" fontId="30" fillId="0" borderId="30" applyNumberFormat="0" applyFill="0" applyAlignment="0" applyProtection="0">
      <alignment vertical="center"/>
    </xf>
    <xf numFmtId="0" fontId="31" fillId="0" borderId="31" applyNumberFormat="0" applyFill="0" applyAlignment="0" applyProtection="0">
      <alignment vertical="center"/>
    </xf>
    <xf numFmtId="0" fontId="32" fillId="23" borderId="0" applyNumberFormat="0" applyBorder="0" applyAlignment="0" applyProtection="0">
      <alignment vertical="center"/>
    </xf>
    <xf numFmtId="0" fontId="33" fillId="24" borderId="0" applyNumberFormat="0" applyBorder="0" applyAlignment="0" applyProtection="0">
      <alignment vertical="center"/>
    </xf>
    <xf numFmtId="0" fontId="34" fillId="25" borderId="0" applyNumberFormat="0" applyBorder="0" applyAlignment="0" applyProtection="0">
      <alignment vertical="center"/>
    </xf>
    <xf numFmtId="0" fontId="35" fillId="26" borderId="0" applyNumberFormat="0" applyBorder="0" applyAlignment="0" applyProtection="0">
      <alignment vertical="center"/>
    </xf>
    <xf numFmtId="0" fontId="36" fillId="27" borderId="0" applyNumberFormat="0" applyBorder="0" applyAlignment="0" applyProtection="0">
      <alignment vertical="center"/>
    </xf>
    <xf numFmtId="0" fontId="36" fillId="28" borderId="0" applyNumberFormat="0" applyBorder="0" applyAlignment="0" applyProtection="0">
      <alignment vertical="center"/>
    </xf>
    <xf numFmtId="0" fontId="35" fillId="29" borderId="0" applyNumberFormat="0" applyBorder="0" applyAlignment="0" applyProtection="0">
      <alignment vertical="center"/>
    </xf>
    <xf numFmtId="0" fontId="35" fillId="30" borderId="0" applyNumberFormat="0" applyBorder="0" applyAlignment="0" applyProtection="0">
      <alignment vertical="center"/>
    </xf>
    <xf numFmtId="0" fontId="36" fillId="31" borderId="0" applyNumberFormat="0" applyBorder="0" applyAlignment="0" applyProtection="0">
      <alignment vertical="center"/>
    </xf>
    <xf numFmtId="0" fontId="36" fillId="32" borderId="0" applyNumberFormat="0" applyBorder="0" applyAlignment="0" applyProtection="0">
      <alignment vertical="center"/>
    </xf>
    <xf numFmtId="0" fontId="35" fillId="33" borderId="0" applyNumberFormat="0" applyBorder="0" applyAlignment="0" applyProtection="0">
      <alignment vertical="center"/>
    </xf>
    <xf numFmtId="0" fontId="35" fillId="34" borderId="0" applyNumberFormat="0" applyBorder="0" applyAlignment="0" applyProtection="0">
      <alignment vertical="center"/>
    </xf>
    <xf numFmtId="0" fontId="36" fillId="35" borderId="0" applyNumberFormat="0" applyBorder="0" applyAlignment="0" applyProtection="0">
      <alignment vertical="center"/>
    </xf>
    <xf numFmtId="0" fontId="36" fillId="36" borderId="0" applyNumberFormat="0" applyBorder="0" applyAlignment="0" applyProtection="0">
      <alignment vertical="center"/>
    </xf>
    <xf numFmtId="0" fontId="35" fillId="37" borderId="0" applyNumberFormat="0" applyBorder="0" applyAlignment="0" applyProtection="0">
      <alignment vertical="center"/>
    </xf>
    <xf numFmtId="0" fontId="35" fillId="38" borderId="0" applyNumberFormat="0" applyBorder="0" applyAlignment="0" applyProtection="0">
      <alignment vertical="center"/>
    </xf>
    <xf numFmtId="0" fontId="36" fillId="39" borderId="0" applyNumberFormat="0" applyBorder="0" applyAlignment="0" applyProtection="0">
      <alignment vertical="center"/>
    </xf>
    <xf numFmtId="0" fontId="36" fillId="40" borderId="0" applyNumberFormat="0" applyBorder="0" applyAlignment="0" applyProtection="0">
      <alignment vertical="center"/>
    </xf>
    <xf numFmtId="0" fontId="35" fillId="41" borderId="0" applyNumberFormat="0" applyBorder="0" applyAlignment="0" applyProtection="0">
      <alignment vertical="center"/>
    </xf>
    <xf numFmtId="0" fontId="35" fillId="42" borderId="0" applyNumberFormat="0" applyBorder="0" applyAlignment="0" applyProtection="0">
      <alignment vertical="center"/>
    </xf>
    <xf numFmtId="0" fontId="36" fillId="43" borderId="0" applyNumberFormat="0" applyBorder="0" applyAlignment="0" applyProtection="0">
      <alignment vertical="center"/>
    </xf>
    <xf numFmtId="0" fontId="36" fillId="44" borderId="0" applyNumberFormat="0" applyBorder="0" applyAlignment="0" applyProtection="0">
      <alignment vertical="center"/>
    </xf>
    <xf numFmtId="0" fontId="35" fillId="45" borderId="0" applyNumberFormat="0" applyBorder="0" applyAlignment="0" applyProtection="0">
      <alignment vertical="center"/>
    </xf>
    <xf numFmtId="0" fontId="35" fillId="46" borderId="0" applyNumberFormat="0" applyBorder="0" applyAlignment="0" applyProtection="0">
      <alignment vertical="center"/>
    </xf>
    <xf numFmtId="0" fontId="36" fillId="47" borderId="0" applyNumberFormat="0" applyBorder="0" applyAlignment="0" applyProtection="0">
      <alignment vertical="center"/>
    </xf>
    <xf numFmtId="0" fontId="36" fillId="48" borderId="0" applyNumberFormat="0" applyBorder="0" applyAlignment="0" applyProtection="0">
      <alignment vertical="center"/>
    </xf>
    <xf numFmtId="0" fontId="35" fillId="49" borderId="0" applyNumberFormat="0" applyBorder="0" applyAlignment="0" applyProtection="0">
      <alignment vertical="center"/>
    </xf>
  </cellStyleXfs>
  <cellXfs count="16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3" fillId="0" borderId="2" xfId="0" applyFont="1" applyBorder="1" applyAlignment="1">
      <alignment horizontal="left" vertical="center" wrapText="1"/>
    </xf>
    <xf numFmtId="0" fontId="2" fillId="0" borderId="3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 wrapText="1"/>
    </xf>
    <xf numFmtId="0" fontId="3" fillId="0" borderId="4" xfId="0" applyFont="1" applyBorder="1" applyAlignment="1">
      <alignment horizontal="left" vertical="center" wrapText="1"/>
    </xf>
    <xf numFmtId="0" fontId="2" fillId="0" borderId="3" xfId="0" applyFont="1" applyBorder="1" applyAlignment="1">
      <alignment horizontal="center" vertical="center" wrapText="1"/>
    </xf>
    <xf numFmtId="0" fontId="3" fillId="0" borderId="0" xfId="0" applyFont="1" applyAlignment="1">
      <alignment vertical="center" wrapText="1"/>
    </xf>
    <xf numFmtId="0" fontId="2" fillId="0" borderId="5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left" vertical="center" wrapText="1"/>
    </xf>
    <xf numFmtId="0" fontId="2" fillId="0" borderId="5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3" borderId="6" xfId="0" applyFont="1" applyFill="1" applyBorder="1" applyAlignment="1">
      <alignment horizontal="center" vertical="center"/>
    </xf>
    <xf numFmtId="0" fontId="5" fillId="3" borderId="7" xfId="0" applyFont="1" applyFill="1" applyBorder="1" applyAlignment="1">
      <alignment horizontal="center" vertical="center"/>
    </xf>
    <xf numFmtId="0" fontId="5" fillId="3" borderId="4" xfId="0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0" fontId="6" fillId="3" borderId="8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0" fontId="7" fillId="0" borderId="7" xfId="0" applyFont="1" applyBorder="1" applyAlignment="1">
      <alignment horizontal="center" vertical="center"/>
    </xf>
    <xf numFmtId="9" fontId="7" fillId="0" borderId="1" xfId="0" applyNumberFormat="1" applyFont="1" applyBorder="1" applyAlignment="1">
      <alignment horizontal="center" vertical="center"/>
    </xf>
    <xf numFmtId="9" fontId="8" fillId="0" borderId="4" xfId="0" applyNumberFormat="1" applyFont="1" applyBorder="1" applyAlignment="1">
      <alignment horizontal="center" vertical="center"/>
    </xf>
    <xf numFmtId="9" fontId="8" fillId="0" borderId="1" xfId="0" applyNumberFormat="1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9" fillId="0" borderId="8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 wrapText="1"/>
    </xf>
    <xf numFmtId="0" fontId="9" fillId="0" borderId="8" xfId="0" applyFont="1" applyBorder="1" applyAlignment="1">
      <alignment horizontal="center" vertical="center" wrapText="1"/>
    </xf>
    <xf numFmtId="0" fontId="8" fillId="0" borderId="4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 wrapText="1"/>
    </xf>
    <xf numFmtId="0" fontId="10" fillId="0" borderId="8" xfId="0" applyFont="1" applyBorder="1" applyAlignment="1">
      <alignment horizontal="center" vertical="center" wrapText="1"/>
    </xf>
    <xf numFmtId="0" fontId="8" fillId="0" borderId="1" xfId="0" applyFont="1" applyBorder="1" applyAlignment="1">
      <alignment vertical="center"/>
    </xf>
    <xf numFmtId="0" fontId="11" fillId="0" borderId="9" xfId="0" applyFont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 wrapText="1"/>
    </xf>
    <xf numFmtId="0" fontId="11" fillId="0" borderId="10" xfId="0" applyFont="1" applyBorder="1" applyAlignment="1">
      <alignment horizontal="center" vertical="center"/>
    </xf>
    <xf numFmtId="0" fontId="11" fillId="0" borderId="10" xfId="0" applyFont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/>
    </xf>
    <xf numFmtId="0" fontId="11" fillId="0" borderId="8" xfId="0" applyFont="1" applyBorder="1" applyAlignment="1">
      <alignment horizontal="center" vertical="center"/>
    </xf>
    <xf numFmtId="0" fontId="11" fillId="0" borderId="11" xfId="0" applyFont="1" applyBorder="1" applyAlignment="1">
      <alignment horizontal="center" vertical="center"/>
    </xf>
    <xf numFmtId="0" fontId="12" fillId="0" borderId="0" xfId="0" applyFont="1" applyAlignment="1">
      <alignment vertical="center"/>
    </xf>
    <xf numFmtId="0" fontId="13" fillId="4" borderId="12" xfId="0" applyFont="1" applyFill="1" applyBorder="1" applyAlignment="1">
      <alignment horizontal="center" vertical="center"/>
    </xf>
    <xf numFmtId="0" fontId="13" fillId="5" borderId="12" xfId="0" applyFont="1" applyFill="1" applyBorder="1" applyAlignment="1">
      <alignment horizontal="center" vertical="center"/>
    </xf>
    <xf numFmtId="0" fontId="13" fillId="4" borderId="12" xfId="0" applyFont="1" applyFill="1" applyBorder="1" applyAlignment="1">
      <alignment horizontal="center" vertical="center" wrapText="1"/>
    </xf>
    <xf numFmtId="0" fontId="12" fillId="0" borderId="13" xfId="0" applyFont="1" applyBorder="1" applyAlignment="1">
      <alignment horizontal="center" vertical="center" wrapText="1"/>
    </xf>
    <xf numFmtId="0" fontId="12" fillId="0" borderId="13" xfId="0" applyFont="1" applyBorder="1" applyAlignment="1">
      <alignment vertical="center" wrapText="1"/>
    </xf>
    <xf numFmtId="0" fontId="12" fillId="0" borderId="13" xfId="0" applyFont="1" applyBorder="1" applyAlignment="1">
      <alignment horizontal="left" vertical="center" wrapText="1"/>
    </xf>
    <xf numFmtId="0" fontId="12" fillId="0" borderId="12" xfId="0" applyFont="1" applyBorder="1" applyAlignment="1">
      <alignment horizontal="left" vertical="center"/>
    </xf>
    <xf numFmtId="0" fontId="12" fillId="0" borderId="12" xfId="0" applyFont="1" applyBorder="1" applyAlignment="1">
      <alignment horizontal="left" vertical="center" wrapText="1"/>
    </xf>
    <xf numFmtId="0" fontId="12" fillId="0" borderId="12" xfId="0" applyFont="1" applyBorder="1" applyAlignment="1" applyProtection="1">
      <alignment horizontal="left" vertical="center"/>
      <protection locked="0"/>
    </xf>
    <xf numFmtId="0" fontId="12" fillId="6" borderId="14" xfId="0" applyFont="1" applyFill="1" applyBorder="1" applyAlignment="1">
      <alignment horizontal="center" vertical="center"/>
    </xf>
    <xf numFmtId="0" fontId="12" fillId="6" borderId="15" xfId="0" applyFont="1" applyFill="1" applyBorder="1" applyAlignment="1">
      <alignment horizontal="center" vertical="center"/>
    </xf>
    <xf numFmtId="0" fontId="12" fillId="7" borderId="14" xfId="0" applyFont="1" applyFill="1" applyBorder="1" applyAlignment="1">
      <alignment horizontal="center" vertical="center"/>
    </xf>
    <xf numFmtId="0" fontId="12" fillId="7" borderId="15" xfId="0" applyFont="1" applyFill="1" applyBorder="1" applyAlignment="1">
      <alignment horizontal="center" vertical="center"/>
    </xf>
    <xf numFmtId="0" fontId="12" fillId="8" borderId="16" xfId="0" applyFont="1" applyFill="1" applyBorder="1" applyAlignment="1">
      <alignment horizontal="center" vertical="center"/>
    </xf>
    <xf numFmtId="0" fontId="12" fillId="8" borderId="17" xfId="0" applyFont="1" applyFill="1" applyBorder="1" applyAlignment="1">
      <alignment horizontal="center" vertical="center"/>
    </xf>
    <xf numFmtId="0" fontId="12" fillId="8" borderId="18" xfId="0" applyFont="1" applyFill="1" applyBorder="1" applyAlignment="1">
      <alignment horizontal="center" vertical="center"/>
    </xf>
    <xf numFmtId="0" fontId="12" fillId="0" borderId="12" xfId="0" applyFont="1" applyBorder="1" applyAlignment="1">
      <alignment horizontal="center" vertical="center"/>
    </xf>
    <xf numFmtId="0" fontId="12" fillId="0" borderId="12" xfId="0" applyFont="1" applyBorder="1" applyAlignment="1">
      <alignment vertical="center" wrapText="1"/>
    </xf>
    <xf numFmtId="0" fontId="14" fillId="0" borderId="12" xfId="0" applyFont="1" applyBorder="1" applyAlignment="1">
      <alignment horizontal="left" vertical="center" wrapText="1"/>
    </xf>
    <xf numFmtId="0" fontId="15" fillId="0" borderId="12" xfId="0" applyFont="1" applyBorder="1" applyAlignment="1" applyProtection="1">
      <alignment horizontal="left" vertical="center"/>
      <protection locked="0"/>
    </xf>
    <xf numFmtId="0" fontId="12" fillId="6" borderId="16" xfId="0" applyFont="1" applyFill="1" applyBorder="1" applyAlignment="1">
      <alignment horizontal="center" vertical="center"/>
    </xf>
    <xf numFmtId="0" fontId="12" fillId="6" borderId="17" xfId="0" applyFont="1" applyFill="1" applyBorder="1" applyAlignment="1">
      <alignment horizontal="center" vertical="center"/>
    </xf>
    <xf numFmtId="0" fontId="12" fillId="6" borderId="18" xfId="0" applyFont="1" applyFill="1" applyBorder="1" applyAlignment="1">
      <alignment horizontal="center" vertical="center"/>
    </xf>
    <xf numFmtId="0" fontId="12" fillId="7" borderId="16" xfId="0" applyFont="1" applyFill="1" applyBorder="1" applyAlignment="1">
      <alignment horizontal="center" vertical="center"/>
    </xf>
    <xf numFmtId="0" fontId="12" fillId="7" borderId="17" xfId="0" applyFont="1" applyFill="1" applyBorder="1" applyAlignment="1">
      <alignment horizontal="center" vertical="center"/>
    </xf>
    <xf numFmtId="0" fontId="12" fillId="7" borderId="18" xfId="0" applyFont="1" applyFill="1" applyBorder="1" applyAlignment="1">
      <alignment horizontal="center" vertical="center"/>
    </xf>
    <xf numFmtId="0" fontId="12" fillId="0" borderId="12" xfId="0" applyFont="1" applyBorder="1" applyAlignment="1">
      <alignment vertical="center"/>
    </xf>
    <xf numFmtId="0" fontId="12" fillId="6" borderId="12" xfId="0" applyFont="1" applyFill="1" applyBorder="1" applyAlignment="1">
      <alignment horizontal="center" vertical="center"/>
    </xf>
    <xf numFmtId="0" fontId="12" fillId="7" borderId="12" xfId="0" applyFont="1" applyFill="1" applyBorder="1" applyAlignment="1">
      <alignment horizontal="center" vertical="center"/>
    </xf>
    <xf numFmtId="0" fontId="14" fillId="0" borderId="12" xfId="0" applyFont="1" applyBorder="1" applyAlignment="1">
      <alignment horizontal="center" vertical="center"/>
    </xf>
    <xf numFmtId="0" fontId="14" fillId="0" borderId="12" xfId="0" applyFont="1" applyBorder="1" applyAlignment="1">
      <alignment vertical="center"/>
    </xf>
    <xf numFmtId="0" fontId="14" fillId="0" borderId="12" xfId="0" applyFont="1" applyBorder="1" applyAlignment="1">
      <alignment horizontal="left" vertical="center"/>
    </xf>
    <xf numFmtId="0" fontId="15" fillId="0" borderId="12" xfId="0" applyFont="1" applyBorder="1" applyAlignment="1">
      <alignment horizontal="left" vertical="center"/>
    </xf>
    <xf numFmtId="0" fontId="12" fillId="9" borderId="16" xfId="0" applyFont="1" applyFill="1" applyBorder="1" applyAlignment="1">
      <alignment horizontal="center" vertical="center"/>
    </xf>
    <xf numFmtId="0" fontId="12" fillId="9" borderId="17" xfId="0" applyFont="1" applyFill="1" applyBorder="1" applyAlignment="1">
      <alignment horizontal="center" vertical="center"/>
    </xf>
    <xf numFmtId="0" fontId="12" fillId="9" borderId="18" xfId="0" applyFont="1" applyFill="1" applyBorder="1" applyAlignment="1">
      <alignment horizontal="center" vertical="center"/>
    </xf>
    <xf numFmtId="0" fontId="12" fillId="10" borderId="16" xfId="0" applyFont="1" applyFill="1" applyBorder="1" applyAlignment="1">
      <alignment horizontal="center" vertical="center"/>
    </xf>
    <xf numFmtId="0" fontId="12" fillId="10" borderId="17" xfId="0" applyFont="1" applyFill="1" applyBorder="1" applyAlignment="1">
      <alignment horizontal="center" vertical="center"/>
    </xf>
    <xf numFmtId="0" fontId="12" fillId="10" borderId="18" xfId="0" applyFont="1" applyFill="1" applyBorder="1" applyAlignment="1">
      <alignment horizontal="center" vertical="center"/>
    </xf>
    <xf numFmtId="0" fontId="12" fillId="8" borderId="12" xfId="0" applyFont="1" applyFill="1" applyBorder="1" applyAlignment="1">
      <alignment horizontal="center" vertical="center"/>
    </xf>
    <xf numFmtId="0" fontId="14" fillId="0" borderId="16" xfId="0" applyFont="1" applyBorder="1" applyAlignment="1">
      <alignment horizontal="left" vertical="center"/>
    </xf>
    <xf numFmtId="0" fontId="14" fillId="0" borderId="17" xfId="0" applyFont="1" applyBorder="1" applyAlignment="1">
      <alignment horizontal="left" vertical="center"/>
    </xf>
    <xf numFmtId="0" fontId="14" fillId="0" borderId="18" xfId="0" applyFont="1" applyBorder="1" applyAlignment="1">
      <alignment horizontal="left" vertical="center"/>
    </xf>
    <xf numFmtId="0" fontId="12" fillId="11" borderId="19" xfId="0" applyFont="1" applyFill="1" applyBorder="1" applyAlignment="1">
      <alignment horizontal="center" vertical="center"/>
    </xf>
    <xf numFmtId="0" fontId="12" fillId="11" borderId="20" xfId="0" applyFont="1" applyFill="1" applyBorder="1" applyAlignment="1">
      <alignment horizontal="center" vertical="center"/>
    </xf>
    <xf numFmtId="0" fontId="12" fillId="11" borderId="21" xfId="0" applyFont="1" applyFill="1" applyBorder="1" applyAlignment="1">
      <alignment horizontal="center" vertical="center"/>
    </xf>
    <xf numFmtId="0" fontId="12" fillId="12" borderId="16" xfId="0" applyFont="1" applyFill="1" applyBorder="1" applyAlignment="1">
      <alignment horizontal="center" vertical="center"/>
    </xf>
    <xf numFmtId="0" fontId="12" fillId="12" borderId="17" xfId="0" applyFont="1" applyFill="1" applyBorder="1" applyAlignment="1">
      <alignment horizontal="center" vertical="center"/>
    </xf>
    <xf numFmtId="0" fontId="12" fillId="12" borderId="18" xfId="0" applyFont="1" applyFill="1" applyBorder="1" applyAlignment="1">
      <alignment horizontal="center" vertical="center"/>
    </xf>
    <xf numFmtId="0" fontId="15" fillId="0" borderId="16" xfId="0" applyFont="1" applyBorder="1" applyAlignment="1">
      <alignment vertical="center"/>
    </xf>
    <xf numFmtId="0" fontId="15" fillId="0" borderId="17" xfId="0" applyFont="1" applyBorder="1" applyAlignment="1">
      <alignment vertical="center"/>
    </xf>
    <xf numFmtId="0" fontId="15" fillId="0" borderId="18" xfId="0" applyFont="1" applyBorder="1" applyAlignment="1">
      <alignment vertical="center"/>
    </xf>
    <xf numFmtId="0" fontId="14" fillId="13" borderId="12" xfId="0" applyFont="1" applyFill="1" applyBorder="1" applyAlignment="1">
      <alignment horizontal="center" vertical="center"/>
    </xf>
    <xf numFmtId="0" fontId="14" fillId="14" borderId="16" xfId="0" applyFont="1" applyFill="1" applyBorder="1" applyAlignment="1">
      <alignment horizontal="center" vertical="center" wrapText="1"/>
    </xf>
    <xf numFmtId="0" fontId="14" fillId="14" borderId="12" xfId="0" applyFont="1" applyFill="1" applyBorder="1" applyAlignment="1">
      <alignment horizontal="left" vertical="center"/>
    </xf>
    <xf numFmtId="0" fontId="14" fillId="15" borderId="16" xfId="0" applyFont="1" applyFill="1" applyBorder="1" applyAlignment="1">
      <alignment horizontal="center" vertical="center" wrapText="1"/>
    </xf>
    <xf numFmtId="0" fontId="14" fillId="15" borderId="12" xfId="0" applyFont="1" applyFill="1" applyBorder="1" applyAlignment="1">
      <alignment horizontal="left" vertical="center"/>
    </xf>
    <xf numFmtId="0" fontId="14" fillId="8" borderId="16" xfId="0" applyFont="1" applyFill="1" applyBorder="1" applyAlignment="1">
      <alignment horizontal="center" vertical="center" wrapText="1"/>
    </xf>
    <xf numFmtId="0" fontId="14" fillId="8" borderId="12" xfId="0" applyFont="1" applyFill="1" applyBorder="1" applyAlignment="1">
      <alignment horizontal="left" vertical="center"/>
    </xf>
    <xf numFmtId="0" fontId="12" fillId="0" borderId="22" xfId="0" applyFont="1" applyBorder="1" applyAlignment="1">
      <alignment horizontal="center" vertical="center"/>
    </xf>
    <xf numFmtId="0" fontId="15" fillId="0" borderId="16" xfId="0" applyFont="1" applyBorder="1" applyAlignment="1">
      <alignment vertical="center" wrapText="1"/>
    </xf>
    <xf numFmtId="0" fontId="15" fillId="0" borderId="18" xfId="0" applyFont="1" applyBorder="1" applyAlignment="1">
      <alignment vertical="center" wrapText="1"/>
    </xf>
    <xf numFmtId="0" fontId="14" fillId="14" borderId="12" xfId="0" applyFont="1" applyFill="1" applyBorder="1" applyAlignment="1">
      <alignment horizontal="left" vertical="center" wrapText="1"/>
    </xf>
    <xf numFmtId="0" fontId="14" fillId="15" borderId="12" xfId="0" applyFont="1" applyFill="1" applyBorder="1" applyAlignment="1">
      <alignment horizontal="left" vertical="center" wrapText="1"/>
    </xf>
    <xf numFmtId="0" fontId="14" fillId="8" borderId="12" xfId="0" applyFont="1" applyFill="1" applyBorder="1" applyAlignment="1">
      <alignment horizontal="left" vertical="center" wrapText="1"/>
    </xf>
    <xf numFmtId="0" fontId="12" fillId="0" borderId="23" xfId="0" applyFont="1" applyBorder="1" applyAlignment="1">
      <alignment horizontal="center" vertical="center"/>
    </xf>
    <xf numFmtId="0" fontId="15" fillId="0" borderId="12" xfId="0" applyFont="1" applyBorder="1" applyAlignment="1">
      <alignment horizontal="center" vertical="center"/>
    </xf>
    <xf numFmtId="0" fontId="10" fillId="0" borderId="12" xfId="0" applyFont="1" applyBorder="1" applyAlignment="1">
      <alignment horizontal="center" vertical="center"/>
    </xf>
    <xf numFmtId="0" fontId="14" fillId="0" borderId="16" xfId="0" applyFont="1" applyBorder="1" applyAlignment="1">
      <alignment horizontal="left" vertical="center" wrapText="1"/>
    </xf>
    <xf numFmtId="0" fontId="14" fillId="0" borderId="18" xfId="0" applyFont="1" applyBorder="1" applyAlignment="1">
      <alignment horizontal="left" vertical="center" wrapText="1"/>
    </xf>
    <xf numFmtId="0" fontId="14" fillId="14" borderId="18" xfId="0" applyFont="1" applyFill="1" applyBorder="1" applyAlignment="1">
      <alignment horizontal="center" vertical="center" wrapText="1"/>
    </xf>
    <xf numFmtId="0" fontId="14" fillId="15" borderId="18" xfId="0" applyFont="1" applyFill="1" applyBorder="1" applyAlignment="1">
      <alignment horizontal="center" vertical="center" wrapText="1"/>
    </xf>
    <xf numFmtId="0" fontId="14" fillId="8" borderId="18" xfId="0" applyFont="1" applyFill="1" applyBorder="1" applyAlignment="1">
      <alignment horizontal="center" vertical="center" wrapText="1"/>
    </xf>
    <xf numFmtId="0" fontId="15" fillId="0" borderId="12" xfId="0" applyFont="1" applyBorder="1" applyAlignment="1">
      <alignment vertical="center"/>
    </xf>
    <xf numFmtId="0" fontId="14" fillId="14" borderId="16" xfId="0" applyFont="1" applyFill="1" applyBorder="1" applyAlignment="1">
      <alignment horizontal="left" vertical="center" wrapText="1"/>
    </xf>
    <xf numFmtId="0" fontId="14" fillId="14" borderId="18" xfId="0" applyFont="1" applyFill="1" applyBorder="1" applyAlignment="1">
      <alignment horizontal="left" vertical="center" wrapText="1"/>
    </xf>
    <xf numFmtId="0" fontId="14" fillId="15" borderId="16" xfId="0" applyFont="1" applyFill="1" applyBorder="1" applyAlignment="1">
      <alignment horizontal="left" vertical="center" wrapText="1"/>
    </xf>
    <xf numFmtId="0" fontId="14" fillId="15" borderId="18" xfId="0" applyFont="1" applyFill="1" applyBorder="1" applyAlignment="1">
      <alignment horizontal="left" vertical="center" wrapText="1"/>
    </xf>
    <xf numFmtId="0" fontId="12" fillId="0" borderId="13" xfId="0" applyFont="1" applyBorder="1" applyAlignment="1">
      <alignment horizontal="center" vertical="center"/>
    </xf>
    <xf numFmtId="0" fontId="15" fillId="0" borderId="22" xfId="0" applyFont="1" applyBorder="1" applyAlignment="1">
      <alignment horizontal="center" vertical="center"/>
    </xf>
    <xf numFmtId="0" fontId="15" fillId="0" borderId="23" xfId="0" applyFont="1" applyBorder="1" applyAlignment="1">
      <alignment horizontal="center" vertical="center"/>
    </xf>
    <xf numFmtId="0" fontId="15" fillId="0" borderId="13" xfId="0" applyFont="1" applyBorder="1" applyAlignment="1">
      <alignment horizontal="center" vertical="center"/>
    </xf>
    <xf numFmtId="0" fontId="15" fillId="0" borderId="16" xfId="0" applyFont="1" applyBorder="1" applyAlignment="1">
      <alignment horizontal="center" vertical="center" wrapText="1"/>
    </xf>
    <xf numFmtId="0" fontId="15" fillId="0" borderId="18" xfId="0" applyFont="1" applyBorder="1" applyAlignment="1">
      <alignment horizontal="center" vertical="center" wrapText="1"/>
    </xf>
    <xf numFmtId="0" fontId="14" fillId="8" borderId="16" xfId="0" applyFont="1" applyFill="1" applyBorder="1" applyAlignment="1">
      <alignment horizontal="left" vertical="center" wrapText="1"/>
    </xf>
    <xf numFmtId="0" fontId="14" fillId="8" borderId="12" xfId="0" applyFont="1" applyFill="1" applyBorder="1" applyAlignment="1">
      <alignment horizontal="center" vertical="center"/>
    </xf>
    <xf numFmtId="0" fontId="14" fillId="8" borderId="18" xfId="0" applyFont="1" applyFill="1" applyBorder="1" applyAlignment="1">
      <alignment horizontal="left" vertical="center" wrapText="1"/>
    </xf>
    <xf numFmtId="0" fontId="15" fillId="0" borderId="22" xfId="0" applyFont="1" applyBorder="1" applyAlignment="1">
      <alignment horizontal="center" vertical="center" wrapText="1"/>
    </xf>
    <xf numFmtId="0" fontId="14" fillId="13" borderId="22" xfId="0" applyFont="1" applyFill="1" applyBorder="1" applyAlignment="1">
      <alignment horizontal="center" vertical="center"/>
    </xf>
    <xf numFmtId="0" fontId="14" fillId="13" borderId="22" xfId="0" applyFont="1" applyFill="1" applyBorder="1" applyAlignment="1">
      <alignment horizontal="left" vertical="center" wrapText="1"/>
    </xf>
    <xf numFmtId="0" fontId="14" fillId="14" borderId="19" xfId="0" applyFont="1" applyFill="1" applyBorder="1" applyAlignment="1">
      <alignment horizontal="center" vertical="center" wrapText="1"/>
    </xf>
    <xf numFmtId="0" fontId="14" fillId="14" borderId="21" xfId="0" applyFont="1" applyFill="1" applyBorder="1" applyAlignment="1">
      <alignment horizontal="center" vertical="center" wrapText="1"/>
    </xf>
    <xf numFmtId="0" fontId="14" fillId="15" borderId="19" xfId="0" applyFont="1" applyFill="1" applyBorder="1" applyAlignment="1">
      <alignment horizontal="center" vertical="center" wrapText="1"/>
    </xf>
    <xf numFmtId="0" fontId="14" fillId="15" borderId="21" xfId="0" applyFont="1" applyFill="1" applyBorder="1" applyAlignment="1">
      <alignment horizontal="center" vertical="center" wrapText="1"/>
    </xf>
    <xf numFmtId="0" fontId="15" fillId="8" borderId="22" xfId="0" applyFont="1" applyFill="1" applyBorder="1" applyAlignment="1">
      <alignment horizontal="center" vertical="center"/>
    </xf>
    <xf numFmtId="0" fontId="15" fillId="16" borderId="12" xfId="0" applyFont="1" applyFill="1" applyBorder="1" applyAlignment="1">
      <alignment horizontal="center" vertical="center"/>
    </xf>
    <xf numFmtId="0" fontId="16" fillId="0" borderId="12" xfId="0" applyFont="1" applyBorder="1" applyAlignment="1">
      <alignment horizontal="center" vertical="center" wrapText="1"/>
    </xf>
    <xf numFmtId="0" fontId="16" fillId="14" borderId="12" xfId="0" applyFont="1" applyFill="1" applyBorder="1" applyAlignment="1">
      <alignment horizontal="center" vertical="center" wrapText="1"/>
    </xf>
    <xf numFmtId="0" fontId="15" fillId="14" borderId="16" xfId="0" applyFont="1" applyFill="1" applyBorder="1" applyAlignment="1">
      <alignment horizontal="center" vertical="center" wrapText="1"/>
    </xf>
    <xf numFmtId="0" fontId="15" fillId="14" borderId="18" xfId="0" applyFont="1" applyFill="1" applyBorder="1" applyAlignment="1">
      <alignment horizontal="center" vertical="center" wrapText="1"/>
    </xf>
    <xf numFmtId="0" fontId="15" fillId="15" borderId="16" xfId="0" applyFont="1" applyFill="1" applyBorder="1" applyAlignment="1">
      <alignment horizontal="center" vertical="center" wrapText="1"/>
    </xf>
    <xf numFmtId="0" fontId="15" fillId="15" borderId="18" xfId="0" applyFont="1" applyFill="1" applyBorder="1" applyAlignment="1">
      <alignment horizontal="center" vertical="center" wrapText="1"/>
    </xf>
    <xf numFmtId="0" fontId="16" fillId="8" borderId="12" xfId="0" applyFont="1" applyFill="1" applyBorder="1" applyAlignment="1">
      <alignment horizontal="center" vertical="center" wrapText="1"/>
    </xf>
    <xf numFmtId="0" fontId="15" fillId="8" borderId="16" xfId="0" applyFont="1" applyFill="1" applyBorder="1" applyAlignment="1">
      <alignment horizontal="center" vertical="center" wrapText="1"/>
    </xf>
    <xf numFmtId="0" fontId="15" fillId="8" borderId="18" xfId="0" applyFont="1" applyFill="1" applyBorder="1" applyAlignment="1">
      <alignment horizontal="center" vertical="center" wrapText="1"/>
    </xf>
    <xf numFmtId="0" fontId="17" fillId="4" borderId="16" xfId="0" applyFont="1" applyFill="1" applyBorder="1" applyAlignment="1">
      <alignment horizontal="center" vertical="center"/>
    </xf>
    <xf numFmtId="0" fontId="17" fillId="4" borderId="17" xfId="0" applyFont="1" applyFill="1" applyBorder="1" applyAlignment="1">
      <alignment horizontal="center" vertical="center"/>
    </xf>
    <xf numFmtId="0" fontId="17" fillId="4" borderId="18" xfId="0" applyFont="1" applyFill="1" applyBorder="1" applyAlignment="1">
      <alignment horizontal="center" vertical="center"/>
    </xf>
    <xf numFmtId="0" fontId="12" fillId="0" borderId="0" xfId="0" applyFont="1"/>
    <xf numFmtId="0" fontId="17" fillId="5" borderId="12" xfId="0" applyFont="1" applyFill="1" applyBorder="1" applyAlignment="1">
      <alignment horizontal="center" vertical="center"/>
    </xf>
    <xf numFmtId="0" fontId="17" fillId="4" borderId="12" xfId="0" applyFont="1" applyFill="1" applyBorder="1" applyAlignment="1">
      <alignment horizontal="center" vertical="center" wrapText="1"/>
    </xf>
    <xf numFmtId="0" fontId="17" fillId="4" borderId="12" xfId="0" applyFont="1" applyFill="1" applyBorder="1" applyAlignment="1">
      <alignment horizontal="center" vertical="center"/>
    </xf>
    <xf numFmtId="0" fontId="15" fillId="0" borderId="12" xfId="0" applyFont="1" applyBorder="1" applyAlignment="1">
      <alignment horizontal="center" vertical="center" wrapText="1"/>
    </xf>
    <xf numFmtId="0" fontId="15" fillId="17" borderId="12" xfId="0" applyFont="1" applyFill="1" applyBorder="1" applyAlignment="1">
      <alignment horizontal="center" vertical="center"/>
    </xf>
    <xf numFmtId="0" fontId="15" fillId="18" borderId="12" xfId="0" applyFont="1" applyFill="1" applyBorder="1" applyAlignment="1">
      <alignment horizontal="center" vertical="center"/>
    </xf>
    <xf numFmtId="0" fontId="17" fillId="4" borderId="0" xfId="0" applyFont="1" applyFill="1" applyAlignment="1">
      <alignment horizontal="center" vertical="center"/>
    </xf>
    <xf numFmtId="0" fontId="15" fillId="0" borderId="0" xfId="0" applyFont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mruColors>
      <color rgb="00ED7D31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ctrlProps/ctrlProp1.xml><?xml version="1.0" encoding="utf-8"?>
<formControlPr xmlns="http://schemas.microsoft.com/office/spreadsheetml/2009/9/main" objectType="CheckBox" noThreeD="1" val="0"/>
</file>

<file path=xl/ctrlProps/ctrlProp2.xml><?xml version="1.0" encoding="utf-8"?>
<formControlPr xmlns="http://schemas.microsoft.com/office/spreadsheetml/2009/9/main" objectType="CheckBox" noThreeD="1" val="0"/>
</file>

<file path=xl/ctrlProps/ctrlProp3.xml><?xml version="1.0" encoding="utf-8"?>
<formControlPr xmlns="http://schemas.microsoft.com/office/spreadsheetml/2009/9/main" objectType="CheckBox" noThreeD="1" val="0"/>
</file>

<file path=xl/ctrlProps/ctrlProp4.xml><?xml version="1.0" encoding="utf-8"?>
<formControlPr xmlns="http://schemas.microsoft.com/office/spreadsheetml/2009/9/main" objectType="CheckBox" noThreeD="1" val="0"/>
</file>

<file path=xl/ctrlProps/ctrlProp5.xml><?xml version="1.0" encoding="utf-8"?>
<formControlPr xmlns="http://schemas.microsoft.com/office/spreadsheetml/2009/9/main" objectType="CheckBox" noThreeD="1" val="0"/>
</file>

<file path=xl/ctrlProps/ctrlProp6.xml><?xml version="1.0" encoding="utf-8"?>
<formControlPr xmlns="http://schemas.microsoft.com/office/spreadsheetml/2009/9/main" objectType="CheckBox" noThreeD="1" val="0"/>
</file>

<file path=xl/ctrlProps/ctrlProp7.xml><?xml version="1.0" encoding="utf-8"?>
<formControlPr xmlns="http://schemas.microsoft.com/office/spreadsheetml/2009/9/main" objectType="CheckBox" noThreeD="1" val="0"/>
</file>

<file path=xl/ctrlProps/ctrlProp8.xml><?xml version="1.0" encoding="utf-8"?>
<formControlPr xmlns="http://schemas.microsoft.com/office/spreadsheetml/2009/9/main" objectType="CheckBox" noThreeD="1" val="0"/>
</file>

<file path=xl/ctrlProps/ctrlProp9.xml><?xml version="1.0" encoding="utf-8"?>
<formControlPr xmlns="http://schemas.microsoft.com/office/spreadsheetml/2009/9/main" objectType="CheckBox" noThreeD="1" val="0"/>
</file>

<file path=xl/ctrlProps/ctrlProp10.xml><?xml version="1.0" encoding="utf-8"?>
<formControlPr xmlns="http://schemas.microsoft.com/office/spreadsheetml/2009/9/main" objectType="CheckBox" noThreeD="1" val="0"/>
</file>

<file path=xl/ctrlProps/ctrlProp11.xml><?xml version="1.0" encoding="utf-8"?>
<formControlPr xmlns="http://schemas.microsoft.com/office/spreadsheetml/2009/9/main" objectType="CheckBox" noThreeD="1" val="0"/>
</file>

<file path=xl/ctrlProps/ctrlProp12.xml><?xml version="1.0" encoding="utf-8"?>
<formControlPr xmlns="http://schemas.microsoft.com/office/spreadsheetml/2009/9/main" objectType="CheckBox" noThreeD="1" val="0"/>
</file>

<file path=xl/ctrlProps/ctrlProp13.xml><?xml version="1.0" encoding="utf-8"?>
<formControlPr xmlns="http://schemas.microsoft.com/office/spreadsheetml/2009/9/main" objectType="CheckBox" noThreeD="1" val="0"/>
</file>

<file path=xl/ctrlProps/ctrlProp14.xml><?xml version="1.0" encoding="utf-8"?>
<formControlPr xmlns="http://schemas.microsoft.com/office/spreadsheetml/2009/9/main" objectType="CheckBox" noThreeD="1" val="0"/>
</file>

<file path=xl/ctrlProps/ctrlProp15.xml><?xml version="1.0" encoding="utf-8"?>
<formControlPr xmlns="http://schemas.microsoft.com/office/spreadsheetml/2009/9/main" objectType="CheckBox" noThreeD="1" val="0"/>
</file>

<file path=xl/ctrlProps/ctrlProp16.xml><?xml version="1.0" encoding="utf-8"?>
<formControlPr xmlns="http://schemas.microsoft.com/office/spreadsheetml/2009/9/main" objectType="CheckBox" noThreeD="1" val="0"/>
</file>

<file path=xl/ctrlProps/ctrlProp17.xml><?xml version="1.0" encoding="utf-8"?>
<formControlPr xmlns="http://schemas.microsoft.com/office/spreadsheetml/2009/9/main" objectType="CheckBox" noThreeD="1" val="0"/>
</file>

<file path=xl/ctrlProps/ctrlProp18.xml><?xml version="1.0" encoding="utf-8"?>
<formControlPr xmlns="http://schemas.microsoft.com/office/spreadsheetml/2009/9/main" objectType="CheckBox" noThreeD="1" val="0"/>
</file>

<file path=xl/ctrlProps/ctrlProp19.xml><?xml version="1.0" encoding="utf-8"?>
<formControlPr xmlns="http://schemas.microsoft.com/office/spreadsheetml/2009/9/main" objectType="CheckBox" noThreeD="1" val="0"/>
</file>

<file path=xl/ctrlProps/ctrlProp20.xml><?xml version="1.0" encoding="utf-8"?>
<formControlPr xmlns="http://schemas.microsoft.com/office/spreadsheetml/2009/9/main" objectType="CheckBox" noThreeD="1" val="0"/>
</file>

<file path=xl/ctrlProps/ctrlProp21.xml><?xml version="1.0" encoding="utf-8"?>
<formControlPr xmlns="http://schemas.microsoft.com/office/spreadsheetml/2009/9/main" objectType="CheckBox" noThreeD="1" val="0"/>
</file>

<file path=xl/ctrlProps/ctrlProp22.xml><?xml version="1.0" encoding="utf-8"?>
<formControlPr xmlns="http://schemas.microsoft.com/office/spreadsheetml/2009/9/main" objectType="CheckBox" noThreeD="1" val="0"/>
</file>

<file path=xl/ctrlProps/ctrlProp23.xml><?xml version="1.0" encoding="utf-8"?>
<formControlPr xmlns="http://schemas.microsoft.com/office/spreadsheetml/2009/9/main" objectType="CheckBox" noThreeD="1" val="0"/>
</file>

<file path=xl/ctrlProps/ctrlProp24.xml><?xml version="1.0" encoding="utf-8"?>
<formControlPr xmlns="http://schemas.microsoft.com/office/spreadsheetml/2009/9/main" objectType="CheckBox" noThreeD="1" val="0"/>
</file>

<file path=xl/ctrlProps/ctrlProp25.xml><?xml version="1.0" encoding="utf-8"?>
<formControlPr xmlns="http://schemas.microsoft.com/office/spreadsheetml/2009/9/main" objectType="CheckBox" checked="Checked" noThreeD="1" val="0"/>
</file>

<file path=xl/ctrlProps/ctrlProp26.xml><?xml version="1.0" encoding="utf-8"?>
<formControlPr xmlns="http://schemas.microsoft.com/office/spreadsheetml/2009/9/main" objectType="CheckBox" checked="Checked" noThreeD="1" val="0"/>
</file>

<file path=xl/ctrlProps/ctrlProp27.xml><?xml version="1.0" encoding="utf-8"?>
<formControlPr xmlns="http://schemas.microsoft.com/office/spreadsheetml/2009/9/main" objectType="CheckBox" checked="Checked" noThreeD="1" val="0"/>
</file>

<file path=xl/ctrlProps/ctrlProp28.xml><?xml version="1.0" encoding="utf-8"?>
<formControlPr xmlns="http://schemas.microsoft.com/office/spreadsheetml/2009/9/main" objectType="CheckBox" noThreeD="1" val="0"/>
</file>

<file path=xl/ctrlProps/ctrlProp29.xml><?xml version="1.0" encoding="utf-8"?>
<formControlPr xmlns="http://schemas.microsoft.com/office/spreadsheetml/2009/9/main" objectType="CheckBox" noThreeD="1" val="0"/>
</file>

<file path=xl/ctrlProps/ctrlProp30.xml><?xml version="1.0" encoding="utf-8"?>
<formControlPr xmlns="http://schemas.microsoft.com/office/spreadsheetml/2009/9/main" objectType="CheckBox" noThreeD="1" val="0"/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457200</xdr:colOff>
          <xdr:row>8</xdr:row>
          <xdr:rowOff>304800</xdr:rowOff>
        </xdr:from>
        <xdr:to>
          <xdr:col>7</xdr:col>
          <xdr:colOff>139700</xdr:colOff>
          <xdr:row>10</xdr:row>
          <xdr:rowOff>152400</xdr:rowOff>
        </xdr:to>
        <xdr:sp>
          <xdr:nvSpPr>
            <xdr:cNvPr id="6431" name="Check Box 287" hidden="1">
              <a:extLst>
                <a:ext uri="{63B3BB69-23CF-44E3-9099-C40C66FF867C}">
                  <a14:compatExt spid="_x0000_s6431"/>
                </a:ext>
              </a:extLst>
            </xdr:cNvPr>
            <xdr:cNvSpPr/>
          </xdr:nvSpPr>
          <xdr:spPr>
            <a:xfrm>
              <a:off x="8550910" y="2717800"/>
              <a:ext cx="666115" cy="444500"/>
            </a:xfrm>
            <a:prstGeom prst="rect">
              <a:avLst/>
            </a:prstGeom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zh-CN" altLang="en-US" sz="900" b="0" i="0" u="none" strike="noStrike" baseline="0">
                  <a:solidFill>
                    <a:srgbClr val="000000"/>
                  </a:solidFill>
                  <a:latin typeface="Microsoft YaHei UI" charset="-122"/>
                  <a:ea typeface="Microsoft YaHei UI" charset="-122"/>
                </a:rPr>
                <a:t>合理</a:t>
              </a:r>
              <a:endParaRPr lang="zh-CN" altLang="en-US" sz="900" b="0" i="0" u="none" strike="noStrike" baseline="0">
                <a:solidFill>
                  <a:srgbClr val="000000"/>
                </a:solidFill>
                <a:latin typeface="Microsoft YaHei UI" charset="-122"/>
                <a:ea typeface="Microsoft YaHei UI" charset="-122"/>
              </a:endParaRP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177800</xdr:colOff>
          <xdr:row>9</xdr:row>
          <xdr:rowOff>0</xdr:rowOff>
        </xdr:from>
        <xdr:to>
          <xdr:col>7</xdr:col>
          <xdr:colOff>914400</xdr:colOff>
          <xdr:row>10</xdr:row>
          <xdr:rowOff>165100</xdr:rowOff>
        </xdr:to>
        <xdr:sp>
          <xdr:nvSpPr>
            <xdr:cNvPr id="6432" name="Check Box 288" hidden="1">
              <a:extLst>
                <a:ext uri="{63B3BB69-23CF-44E3-9099-C40C66FF867C}">
                  <a14:compatExt spid="_x0000_s6432"/>
                </a:ext>
              </a:extLst>
            </xdr:cNvPr>
            <xdr:cNvSpPr/>
          </xdr:nvSpPr>
          <xdr:spPr>
            <a:xfrm>
              <a:off x="9255125" y="2717800"/>
              <a:ext cx="736600" cy="457200"/>
            </a:xfrm>
            <a:prstGeom prst="rect">
              <a:avLst/>
            </a:prstGeom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zh-CN" altLang="en-US" sz="900" b="0" i="0" u="none" strike="noStrike" baseline="0">
                  <a:solidFill>
                    <a:srgbClr val="000000"/>
                  </a:solidFill>
                  <a:latin typeface="Microsoft YaHei UI" charset="-122"/>
                  <a:ea typeface="Microsoft YaHei UI" charset="-122"/>
                </a:rPr>
                <a:t>不合理</a:t>
              </a:r>
              <a:endParaRPr lang="zh-CN" altLang="en-US" sz="900" b="0" i="0" u="none" strike="noStrike" baseline="0">
                <a:solidFill>
                  <a:srgbClr val="000000"/>
                </a:solidFill>
                <a:latin typeface="Microsoft YaHei UI" charset="-122"/>
                <a:ea typeface="Microsoft YaHei UI" charset="-122"/>
              </a:endParaRP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63500</xdr:colOff>
          <xdr:row>9</xdr:row>
          <xdr:rowOff>0</xdr:rowOff>
        </xdr:from>
        <xdr:to>
          <xdr:col>8</xdr:col>
          <xdr:colOff>812800</xdr:colOff>
          <xdr:row>10</xdr:row>
          <xdr:rowOff>165100</xdr:rowOff>
        </xdr:to>
        <xdr:sp>
          <xdr:nvSpPr>
            <xdr:cNvPr id="6433" name="Check Box 289" hidden="1">
              <a:extLst>
                <a:ext uri="{63B3BB69-23CF-44E3-9099-C40C66FF867C}">
                  <a14:compatExt spid="_x0000_s6433"/>
                </a:ext>
              </a:extLst>
            </xdr:cNvPr>
            <xdr:cNvSpPr/>
          </xdr:nvSpPr>
          <xdr:spPr>
            <a:xfrm>
              <a:off x="10325735" y="2717800"/>
              <a:ext cx="749300" cy="457200"/>
            </a:xfrm>
            <a:prstGeom prst="rect">
              <a:avLst/>
            </a:prstGeom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zh-CN" altLang="en-US" sz="900" b="0" i="0" u="none" strike="noStrike" baseline="0">
                  <a:solidFill>
                    <a:srgbClr val="000000"/>
                  </a:solidFill>
                  <a:latin typeface="Microsoft YaHei UI" charset="-122"/>
                  <a:ea typeface="Microsoft YaHei UI" charset="-122"/>
                </a:rPr>
                <a:t>不确定</a:t>
              </a:r>
              <a:endParaRPr lang="zh-CN" altLang="en-US" sz="900" b="0" i="0" u="none" strike="noStrike" baseline="0">
                <a:solidFill>
                  <a:srgbClr val="000000"/>
                </a:solidFill>
                <a:latin typeface="Microsoft YaHei UI" charset="-122"/>
                <a:ea typeface="Microsoft YaHei UI" charset="-122"/>
              </a:endParaRP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457200</xdr:colOff>
          <xdr:row>9</xdr:row>
          <xdr:rowOff>304800</xdr:rowOff>
        </xdr:from>
        <xdr:to>
          <xdr:col>7</xdr:col>
          <xdr:colOff>139700</xdr:colOff>
          <xdr:row>11</xdr:row>
          <xdr:rowOff>152400</xdr:rowOff>
        </xdr:to>
        <xdr:sp>
          <xdr:nvSpPr>
            <xdr:cNvPr id="6437" name="Check Box 293" hidden="1">
              <a:extLst>
                <a:ext uri="{63B3BB69-23CF-44E3-9099-C40C66FF867C}">
                  <a14:compatExt spid="_x0000_s6437"/>
                </a:ext>
              </a:extLst>
            </xdr:cNvPr>
            <xdr:cNvSpPr/>
          </xdr:nvSpPr>
          <xdr:spPr>
            <a:xfrm>
              <a:off x="8550910" y="3009900"/>
              <a:ext cx="666115" cy="444500"/>
            </a:xfrm>
            <a:prstGeom prst="rect">
              <a:avLst/>
            </a:prstGeom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zh-CN" altLang="en-US" sz="900" b="0" i="0" u="none" strike="noStrike" baseline="0">
                  <a:solidFill>
                    <a:srgbClr val="000000"/>
                  </a:solidFill>
                  <a:latin typeface="Microsoft YaHei UI" charset="-122"/>
                  <a:ea typeface="Microsoft YaHei UI" charset="-122"/>
                </a:rPr>
                <a:t>合理</a:t>
              </a:r>
              <a:endParaRPr lang="zh-CN" altLang="en-US" sz="900" b="0" i="0" u="none" strike="noStrike" baseline="0">
                <a:solidFill>
                  <a:srgbClr val="000000"/>
                </a:solidFill>
                <a:latin typeface="Microsoft YaHei UI" charset="-122"/>
                <a:ea typeface="Microsoft YaHei UI" charset="-122"/>
              </a:endParaRP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177800</xdr:colOff>
          <xdr:row>10</xdr:row>
          <xdr:rowOff>0</xdr:rowOff>
        </xdr:from>
        <xdr:to>
          <xdr:col>7</xdr:col>
          <xdr:colOff>914400</xdr:colOff>
          <xdr:row>11</xdr:row>
          <xdr:rowOff>165100</xdr:rowOff>
        </xdr:to>
        <xdr:sp>
          <xdr:nvSpPr>
            <xdr:cNvPr id="6438" name="Check Box 294" hidden="1">
              <a:extLst>
                <a:ext uri="{63B3BB69-23CF-44E3-9099-C40C66FF867C}">
                  <a14:compatExt spid="_x0000_s6438"/>
                </a:ext>
              </a:extLst>
            </xdr:cNvPr>
            <xdr:cNvSpPr/>
          </xdr:nvSpPr>
          <xdr:spPr>
            <a:xfrm>
              <a:off x="9255125" y="3009900"/>
              <a:ext cx="736600" cy="457200"/>
            </a:xfrm>
            <a:prstGeom prst="rect">
              <a:avLst/>
            </a:prstGeom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zh-CN" altLang="en-US" sz="900" b="0" i="0" u="none" strike="noStrike" baseline="0">
                  <a:solidFill>
                    <a:srgbClr val="000000"/>
                  </a:solidFill>
                  <a:latin typeface="Microsoft YaHei UI" charset="-122"/>
                  <a:ea typeface="Microsoft YaHei UI" charset="-122"/>
                </a:rPr>
                <a:t>不合理</a:t>
              </a:r>
              <a:endParaRPr lang="zh-CN" altLang="en-US" sz="900" b="0" i="0" u="none" strike="noStrike" baseline="0">
                <a:solidFill>
                  <a:srgbClr val="000000"/>
                </a:solidFill>
                <a:latin typeface="Microsoft YaHei UI" charset="-122"/>
                <a:ea typeface="Microsoft YaHei UI" charset="-122"/>
              </a:endParaRP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63500</xdr:colOff>
          <xdr:row>10</xdr:row>
          <xdr:rowOff>0</xdr:rowOff>
        </xdr:from>
        <xdr:to>
          <xdr:col>8</xdr:col>
          <xdr:colOff>812800</xdr:colOff>
          <xdr:row>11</xdr:row>
          <xdr:rowOff>165100</xdr:rowOff>
        </xdr:to>
        <xdr:sp>
          <xdr:nvSpPr>
            <xdr:cNvPr id="6439" name="Check Box 295" hidden="1">
              <a:extLst>
                <a:ext uri="{63B3BB69-23CF-44E3-9099-C40C66FF867C}">
                  <a14:compatExt spid="_x0000_s6439"/>
                </a:ext>
              </a:extLst>
            </xdr:cNvPr>
            <xdr:cNvSpPr/>
          </xdr:nvSpPr>
          <xdr:spPr>
            <a:xfrm>
              <a:off x="10325735" y="3009900"/>
              <a:ext cx="749300" cy="457200"/>
            </a:xfrm>
            <a:prstGeom prst="rect">
              <a:avLst/>
            </a:prstGeom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zh-CN" altLang="en-US" sz="900" b="0" i="0" u="none" strike="noStrike" baseline="0">
                  <a:solidFill>
                    <a:srgbClr val="000000"/>
                  </a:solidFill>
                  <a:latin typeface="Microsoft YaHei UI" charset="-122"/>
                  <a:ea typeface="Microsoft YaHei UI" charset="-122"/>
                </a:rPr>
                <a:t>不确定</a:t>
              </a:r>
              <a:endParaRPr lang="zh-CN" altLang="en-US" sz="900" b="0" i="0" u="none" strike="noStrike" baseline="0">
                <a:solidFill>
                  <a:srgbClr val="000000"/>
                </a:solidFill>
                <a:latin typeface="Microsoft YaHei UI" charset="-122"/>
                <a:ea typeface="Microsoft YaHei UI" charset="-122"/>
              </a:endParaRP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457200</xdr:colOff>
          <xdr:row>10</xdr:row>
          <xdr:rowOff>304800</xdr:rowOff>
        </xdr:from>
        <xdr:to>
          <xdr:col>7</xdr:col>
          <xdr:colOff>139700</xdr:colOff>
          <xdr:row>12</xdr:row>
          <xdr:rowOff>152400</xdr:rowOff>
        </xdr:to>
        <xdr:sp>
          <xdr:nvSpPr>
            <xdr:cNvPr id="6440" name="Check Box 296" hidden="1">
              <a:extLst>
                <a:ext uri="{63B3BB69-23CF-44E3-9099-C40C66FF867C}">
                  <a14:compatExt spid="_x0000_s6440"/>
                </a:ext>
              </a:extLst>
            </xdr:cNvPr>
            <xdr:cNvSpPr/>
          </xdr:nvSpPr>
          <xdr:spPr>
            <a:xfrm>
              <a:off x="8550910" y="3302000"/>
              <a:ext cx="666115" cy="444500"/>
            </a:xfrm>
            <a:prstGeom prst="rect">
              <a:avLst/>
            </a:prstGeom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zh-CN" altLang="en-US" sz="900" b="0" i="0" u="none" strike="noStrike" baseline="0">
                  <a:solidFill>
                    <a:srgbClr val="000000"/>
                  </a:solidFill>
                  <a:latin typeface="Microsoft YaHei UI" charset="-122"/>
                  <a:ea typeface="Microsoft YaHei UI" charset="-122"/>
                </a:rPr>
                <a:t>合理</a:t>
              </a:r>
              <a:endParaRPr lang="zh-CN" altLang="en-US" sz="900" b="0" i="0" u="none" strike="noStrike" baseline="0">
                <a:solidFill>
                  <a:srgbClr val="000000"/>
                </a:solidFill>
                <a:latin typeface="Microsoft YaHei UI" charset="-122"/>
                <a:ea typeface="Microsoft YaHei UI" charset="-122"/>
              </a:endParaRP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177800</xdr:colOff>
          <xdr:row>11</xdr:row>
          <xdr:rowOff>0</xdr:rowOff>
        </xdr:from>
        <xdr:to>
          <xdr:col>7</xdr:col>
          <xdr:colOff>914400</xdr:colOff>
          <xdr:row>12</xdr:row>
          <xdr:rowOff>165100</xdr:rowOff>
        </xdr:to>
        <xdr:sp>
          <xdr:nvSpPr>
            <xdr:cNvPr id="6441" name="Check Box 297" hidden="1">
              <a:extLst>
                <a:ext uri="{63B3BB69-23CF-44E3-9099-C40C66FF867C}">
                  <a14:compatExt spid="_x0000_s6441"/>
                </a:ext>
              </a:extLst>
            </xdr:cNvPr>
            <xdr:cNvSpPr/>
          </xdr:nvSpPr>
          <xdr:spPr>
            <a:xfrm>
              <a:off x="9255125" y="3302000"/>
              <a:ext cx="736600" cy="457200"/>
            </a:xfrm>
            <a:prstGeom prst="rect">
              <a:avLst/>
            </a:prstGeom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zh-CN" altLang="en-US" sz="900" b="0" i="0" u="none" strike="noStrike" baseline="0">
                  <a:solidFill>
                    <a:srgbClr val="000000"/>
                  </a:solidFill>
                  <a:latin typeface="Microsoft YaHei UI" charset="-122"/>
                  <a:ea typeface="Microsoft YaHei UI" charset="-122"/>
                </a:rPr>
                <a:t>不合理</a:t>
              </a:r>
              <a:endParaRPr lang="zh-CN" altLang="en-US" sz="900" b="0" i="0" u="none" strike="noStrike" baseline="0">
                <a:solidFill>
                  <a:srgbClr val="000000"/>
                </a:solidFill>
                <a:latin typeface="Microsoft YaHei UI" charset="-122"/>
                <a:ea typeface="Microsoft YaHei UI" charset="-122"/>
              </a:endParaRP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63500</xdr:colOff>
          <xdr:row>11</xdr:row>
          <xdr:rowOff>0</xdr:rowOff>
        </xdr:from>
        <xdr:to>
          <xdr:col>8</xdr:col>
          <xdr:colOff>812800</xdr:colOff>
          <xdr:row>12</xdr:row>
          <xdr:rowOff>165100</xdr:rowOff>
        </xdr:to>
        <xdr:sp>
          <xdr:nvSpPr>
            <xdr:cNvPr id="6442" name="Check Box 298" hidden="1">
              <a:extLst>
                <a:ext uri="{63B3BB69-23CF-44E3-9099-C40C66FF867C}">
                  <a14:compatExt spid="_x0000_s6442"/>
                </a:ext>
              </a:extLst>
            </xdr:cNvPr>
            <xdr:cNvSpPr/>
          </xdr:nvSpPr>
          <xdr:spPr>
            <a:xfrm>
              <a:off x="10325735" y="3302000"/>
              <a:ext cx="749300" cy="457200"/>
            </a:xfrm>
            <a:prstGeom prst="rect">
              <a:avLst/>
            </a:prstGeom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zh-CN" altLang="en-US" sz="900" b="0" i="0" u="none" strike="noStrike" baseline="0">
                  <a:solidFill>
                    <a:srgbClr val="000000"/>
                  </a:solidFill>
                  <a:latin typeface="Microsoft YaHei UI" charset="-122"/>
                  <a:ea typeface="Microsoft YaHei UI" charset="-122"/>
                </a:rPr>
                <a:t>不确定</a:t>
              </a:r>
              <a:endParaRPr lang="zh-CN" altLang="en-US" sz="900" b="0" i="0" u="none" strike="noStrike" baseline="0">
                <a:solidFill>
                  <a:srgbClr val="000000"/>
                </a:solidFill>
                <a:latin typeface="Microsoft YaHei UI" charset="-122"/>
                <a:ea typeface="Microsoft YaHei UI" charset="-122"/>
              </a:endParaRP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457200</xdr:colOff>
          <xdr:row>8</xdr:row>
          <xdr:rowOff>304800</xdr:rowOff>
        </xdr:from>
        <xdr:to>
          <xdr:col>10</xdr:col>
          <xdr:colOff>38100</xdr:colOff>
          <xdr:row>10</xdr:row>
          <xdr:rowOff>152400</xdr:rowOff>
        </xdr:to>
        <xdr:sp>
          <xdr:nvSpPr>
            <xdr:cNvPr id="6443" name="Check Box 299" hidden="1">
              <a:extLst>
                <a:ext uri="{63B3BB69-23CF-44E3-9099-C40C66FF867C}">
                  <a14:compatExt spid="_x0000_s6443"/>
                </a:ext>
              </a:extLst>
            </xdr:cNvPr>
            <xdr:cNvSpPr/>
          </xdr:nvSpPr>
          <xdr:spPr>
            <a:xfrm>
              <a:off x="13244195" y="2717800"/>
              <a:ext cx="647700" cy="444500"/>
            </a:xfrm>
            <a:prstGeom prst="rect">
              <a:avLst/>
            </a:prstGeom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zh-CN" altLang="en-US" sz="900" b="0" i="0" u="none" strike="noStrike" baseline="0">
                  <a:solidFill>
                    <a:srgbClr val="000000"/>
                  </a:solidFill>
                  <a:latin typeface="Microsoft YaHei UI" charset="-122"/>
                  <a:ea typeface="Microsoft YaHei UI" charset="-122"/>
                </a:rPr>
                <a:t>合理</a:t>
              </a:r>
              <a:endParaRPr lang="zh-CN" altLang="en-US" sz="900" b="0" i="0" u="none" strike="noStrike" baseline="0">
                <a:solidFill>
                  <a:srgbClr val="000000"/>
                </a:solidFill>
                <a:latin typeface="Microsoft YaHei UI" charset="-122"/>
                <a:ea typeface="Microsoft YaHei UI" charset="-122"/>
              </a:endParaRP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177800</xdr:colOff>
          <xdr:row>9</xdr:row>
          <xdr:rowOff>0</xdr:rowOff>
        </xdr:from>
        <xdr:to>
          <xdr:col>10</xdr:col>
          <xdr:colOff>914400</xdr:colOff>
          <xdr:row>10</xdr:row>
          <xdr:rowOff>165100</xdr:rowOff>
        </xdr:to>
        <xdr:sp>
          <xdr:nvSpPr>
            <xdr:cNvPr id="6444" name="Check Box 300" hidden="1">
              <a:extLst>
                <a:ext uri="{63B3BB69-23CF-44E3-9099-C40C66FF867C}">
                  <a14:compatExt spid="_x0000_s6444"/>
                </a:ext>
              </a:extLst>
            </xdr:cNvPr>
            <xdr:cNvSpPr/>
          </xdr:nvSpPr>
          <xdr:spPr>
            <a:xfrm>
              <a:off x="14031595" y="2717800"/>
              <a:ext cx="736600" cy="457200"/>
            </a:xfrm>
            <a:prstGeom prst="rect">
              <a:avLst/>
            </a:prstGeom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zh-CN" altLang="en-US" sz="900" b="0" i="0" u="none" strike="noStrike" baseline="0">
                  <a:solidFill>
                    <a:srgbClr val="000000"/>
                  </a:solidFill>
                  <a:latin typeface="Microsoft YaHei UI" charset="-122"/>
                  <a:ea typeface="Microsoft YaHei UI" charset="-122"/>
                </a:rPr>
                <a:t>不合理</a:t>
              </a:r>
              <a:endParaRPr lang="zh-CN" altLang="en-US" sz="900" b="0" i="0" u="none" strike="noStrike" baseline="0">
                <a:solidFill>
                  <a:srgbClr val="000000"/>
                </a:solidFill>
                <a:latin typeface="Microsoft YaHei UI" charset="-122"/>
                <a:ea typeface="Microsoft YaHei UI" charset="-122"/>
              </a:endParaRP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63500</xdr:colOff>
          <xdr:row>9</xdr:row>
          <xdr:rowOff>0</xdr:rowOff>
        </xdr:from>
        <xdr:to>
          <xdr:col>11</xdr:col>
          <xdr:colOff>812800</xdr:colOff>
          <xdr:row>10</xdr:row>
          <xdr:rowOff>165100</xdr:rowOff>
        </xdr:to>
        <xdr:sp>
          <xdr:nvSpPr>
            <xdr:cNvPr id="6445" name="Check Box 301" hidden="1">
              <a:extLst>
                <a:ext uri="{63B3BB69-23CF-44E3-9099-C40C66FF867C}">
                  <a14:compatExt spid="_x0000_s6445"/>
                </a:ext>
              </a:extLst>
            </xdr:cNvPr>
            <xdr:cNvSpPr/>
          </xdr:nvSpPr>
          <xdr:spPr>
            <a:xfrm>
              <a:off x="14936470" y="2717800"/>
              <a:ext cx="749300" cy="457200"/>
            </a:xfrm>
            <a:prstGeom prst="rect">
              <a:avLst/>
            </a:prstGeom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zh-CN" altLang="en-US" sz="900" b="0" i="0" u="none" strike="noStrike" baseline="0">
                  <a:solidFill>
                    <a:srgbClr val="000000"/>
                  </a:solidFill>
                  <a:latin typeface="Microsoft YaHei UI" charset="-122"/>
                  <a:ea typeface="Microsoft YaHei UI" charset="-122"/>
                </a:rPr>
                <a:t>不确定</a:t>
              </a:r>
              <a:endParaRPr lang="zh-CN" altLang="en-US" sz="900" b="0" i="0" u="none" strike="noStrike" baseline="0">
                <a:solidFill>
                  <a:srgbClr val="000000"/>
                </a:solidFill>
                <a:latin typeface="Microsoft YaHei UI" charset="-122"/>
                <a:ea typeface="Microsoft YaHei UI" charset="-122"/>
              </a:endParaRP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457200</xdr:colOff>
          <xdr:row>9</xdr:row>
          <xdr:rowOff>304800</xdr:rowOff>
        </xdr:from>
        <xdr:to>
          <xdr:col>10</xdr:col>
          <xdr:colOff>38100</xdr:colOff>
          <xdr:row>11</xdr:row>
          <xdr:rowOff>152400</xdr:rowOff>
        </xdr:to>
        <xdr:sp>
          <xdr:nvSpPr>
            <xdr:cNvPr id="6446" name="Check Box 302" hidden="1">
              <a:extLst>
                <a:ext uri="{63B3BB69-23CF-44E3-9099-C40C66FF867C}">
                  <a14:compatExt spid="_x0000_s6446"/>
                </a:ext>
              </a:extLst>
            </xdr:cNvPr>
            <xdr:cNvSpPr/>
          </xdr:nvSpPr>
          <xdr:spPr>
            <a:xfrm>
              <a:off x="13244195" y="3009900"/>
              <a:ext cx="647700" cy="444500"/>
            </a:xfrm>
            <a:prstGeom prst="rect">
              <a:avLst/>
            </a:prstGeom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zh-CN" altLang="en-US" sz="900" b="0" i="0" u="none" strike="noStrike" baseline="0">
                  <a:solidFill>
                    <a:srgbClr val="000000"/>
                  </a:solidFill>
                  <a:latin typeface="Microsoft YaHei UI" charset="-122"/>
                  <a:ea typeface="Microsoft YaHei UI" charset="-122"/>
                </a:rPr>
                <a:t>合理</a:t>
              </a:r>
              <a:endParaRPr lang="zh-CN" altLang="en-US" sz="900" b="0" i="0" u="none" strike="noStrike" baseline="0">
                <a:solidFill>
                  <a:srgbClr val="000000"/>
                </a:solidFill>
                <a:latin typeface="Microsoft YaHei UI" charset="-122"/>
                <a:ea typeface="Microsoft YaHei UI" charset="-122"/>
              </a:endParaRP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177800</xdr:colOff>
          <xdr:row>10</xdr:row>
          <xdr:rowOff>0</xdr:rowOff>
        </xdr:from>
        <xdr:to>
          <xdr:col>10</xdr:col>
          <xdr:colOff>914400</xdr:colOff>
          <xdr:row>11</xdr:row>
          <xdr:rowOff>165100</xdr:rowOff>
        </xdr:to>
        <xdr:sp>
          <xdr:nvSpPr>
            <xdr:cNvPr id="6447" name="Check Box 303" hidden="1">
              <a:extLst>
                <a:ext uri="{63B3BB69-23CF-44E3-9099-C40C66FF867C}">
                  <a14:compatExt spid="_x0000_s6447"/>
                </a:ext>
              </a:extLst>
            </xdr:cNvPr>
            <xdr:cNvSpPr/>
          </xdr:nvSpPr>
          <xdr:spPr>
            <a:xfrm>
              <a:off x="14031595" y="3009900"/>
              <a:ext cx="736600" cy="457200"/>
            </a:xfrm>
            <a:prstGeom prst="rect">
              <a:avLst/>
            </a:prstGeom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zh-CN" altLang="en-US" sz="900" b="0" i="0" u="none" strike="noStrike" baseline="0">
                  <a:solidFill>
                    <a:srgbClr val="000000"/>
                  </a:solidFill>
                  <a:latin typeface="Microsoft YaHei UI" charset="-122"/>
                  <a:ea typeface="Microsoft YaHei UI" charset="-122"/>
                </a:rPr>
                <a:t>不合理</a:t>
              </a:r>
              <a:endParaRPr lang="zh-CN" altLang="en-US" sz="900" b="0" i="0" u="none" strike="noStrike" baseline="0">
                <a:solidFill>
                  <a:srgbClr val="000000"/>
                </a:solidFill>
                <a:latin typeface="Microsoft YaHei UI" charset="-122"/>
                <a:ea typeface="Microsoft YaHei UI" charset="-122"/>
              </a:endParaRP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63500</xdr:colOff>
          <xdr:row>10</xdr:row>
          <xdr:rowOff>0</xdr:rowOff>
        </xdr:from>
        <xdr:to>
          <xdr:col>11</xdr:col>
          <xdr:colOff>812800</xdr:colOff>
          <xdr:row>11</xdr:row>
          <xdr:rowOff>165100</xdr:rowOff>
        </xdr:to>
        <xdr:sp>
          <xdr:nvSpPr>
            <xdr:cNvPr id="6448" name="Check Box 304" hidden="1">
              <a:extLst>
                <a:ext uri="{63B3BB69-23CF-44E3-9099-C40C66FF867C}">
                  <a14:compatExt spid="_x0000_s6448"/>
                </a:ext>
              </a:extLst>
            </xdr:cNvPr>
            <xdr:cNvSpPr/>
          </xdr:nvSpPr>
          <xdr:spPr>
            <a:xfrm>
              <a:off x="14936470" y="3009900"/>
              <a:ext cx="749300" cy="457200"/>
            </a:xfrm>
            <a:prstGeom prst="rect">
              <a:avLst/>
            </a:prstGeom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zh-CN" altLang="en-US" sz="900" b="0" i="0" u="none" strike="noStrike" baseline="0">
                  <a:solidFill>
                    <a:srgbClr val="000000"/>
                  </a:solidFill>
                  <a:latin typeface="Microsoft YaHei UI" charset="-122"/>
                  <a:ea typeface="Microsoft YaHei UI" charset="-122"/>
                </a:rPr>
                <a:t>不确定</a:t>
              </a:r>
              <a:endParaRPr lang="zh-CN" altLang="en-US" sz="900" b="0" i="0" u="none" strike="noStrike" baseline="0">
                <a:solidFill>
                  <a:srgbClr val="000000"/>
                </a:solidFill>
                <a:latin typeface="Microsoft YaHei UI" charset="-122"/>
                <a:ea typeface="Microsoft YaHei UI" charset="-122"/>
              </a:endParaRP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457200</xdr:colOff>
          <xdr:row>10</xdr:row>
          <xdr:rowOff>304800</xdr:rowOff>
        </xdr:from>
        <xdr:to>
          <xdr:col>10</xdr:col>
          <xdr:colOff>38100</xdr:colOff>
          <xdr:row>12</xdr:row>
          <xdr:rowOff>152400</xdr:rowOff>
        </xdr:to>
        <xdr:sp>
          <xdr:nvSpPr>
            <xdr:cNvPr id="6449" name="Check Box 305" hidden="1">
              <a:extLst>
                <a:ext uri="{63B3BB69-23CF-44E3-9099-C40C66FF867C}">
                  <a14:compatExt spid="_x0000_s6449"/>
                </a:ext>
              </a:extLst>
            </xdr:cNvPr>
            <xdr:cNvSpPr/>
          </xdr:nvSpPr>
          <xdr:spPr>
            <a:xfrm>
              <a:off x="13244195" y="3302000"/>
              <a:ext cx="647700" cy="444500"/>
            </a:xfrm>
            <a:prstGeom prst="rect">
              <a:avLst/>
            </a:prstGeom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zh-CN" altLang="en-US" sz="900" b="0" i="0" u="none" strike="noStrike" baseline="0">
                  <a:solidFill>
                    <a:srgbClr val="000000"/>
                  </a:solidFill>
                  <a:latin typeface="Microsoft YaHei UI" charset="-122"/>
                  <a:ea typeface="Microsoft YaHei UI" charset="-122"/>
                </a:rPr>
                <a:t>合理</a:t>
              </a:r>
              <a:endParaRPr lang="zh-CN" altLang="en-US" sz="900" b="0" i="0" u="none" strike="noStrike" baseline="0">
                <a:solidFill>
                  <a:srgbClr val="000000"/>
                </a:solidFill>
                <a:latin typeface="Microsoft YaHei UI" charset="-122"/>
                <a:ea typeface="Microsoft YaHei UI" charset="-122"/>
              </a:endParaRP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177800</xdr:colOff>
          <xdr:row>11</xdr:row>
          <xdr:rowOff>0</xdr:rowOff>
        </xdr:from>
        <xdr:to>
          <xdr:col>10</xdr:col>
          <xdr:colOff>914400</xdr:colOff>
          <xdr:row>12</xdr:row>
          <xdr:rowOff>165100</xdr:rowOff>
        </xdr:to>
        <xdr:sp>
          <xdr:nvSpPr>
            <xdr:cNvPr id="6450" name="Check Box 306" hidden="1">
              <a:extLst>
                <a:ext uri="{63B3BB69-23CF-44E3-9099-C40C66FF867C}">
                  <a14:compatExt spid="_x0000_s6450"/>
                </a:ext>
              </a:extLst>
            </xdr:cNvPr>
            <xdr:cNvSpPr/>
          </xdr:nvSpPr>
          <xdr:spPr>
            <a:xfrm>
              <a:off x="14031595" y="3302000"/>
              <a:ext cx="736600" cy="457200"/>
            </a:xfrm>
            <a:prstGeom prst="rect">
              <a:avLst/>
            </a:prstGeom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zh-CN" altLang="en-US" sz="900" b="0" i="0" u="none" strike="noStrike" baseline="0">
                  <a:solidFill>
                    <a:srgbClr val="000000"/>
                  </a:solidFill>
                  <a:latin typeface="Microsoft YaHei UI" charset="-122"/>
                  <a:ea typeface="Microsoft YaHei UI" charset="-122"/>
                </a:rPr>
                <a:t>不合理</a:t>
              </a:r>
              <a:endParaRPr lang="zh-CN" altLang="en-US" sz="900" b="0" i="0" u="none" strike="noStrike" baseline="0">
                <a:solidFill>
                  <a:srgbClr val="000000"/>
                </a:solidFill>
                <a:latin typeface="Microsoft YaHei UI" charset="-122"/>
                <a:ea typeface="Microsoft YaHei UI" charset="-122"/>
              </a:endParaRP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63500</xdr:colOff>
          <xdr:row>11</xdr:row>
          <xdr:rowOff>0</xdr:rowOff>
        </xdr:from>
        <xdr:to>
          <xdr:col>11</xdr:col>
          <xdr:colOff>812800</xdr:colOff>
          <xdr:row>12</xdr:row>
          <xdr:rowOff>165100</xdr:rowOff>
        </xdr:to>
        <xdr:sp>
          <xdr:nvSpPr>
            <xdr:cNvPr id="6451" name="Check Box 307" hidden="1">
              <a:extLst>
                <a:ext uri="{63B3BB69-23CF-44E3-9099-C40C66FF867C}">
                  <a14:compatExt spid="_x0000_s6451"/>
                </a:ext>
              </a:extLst>
            </xdr:cNvPr>
            <xdr:cNvSpPr/>
          </xdr:nvSpPr>
          <xdr:spPr>
            <a:xfrm>
              <a:off x="14936470" y="3302000"/>
              <a:ext cx="749300" cy="457200"/>
            </a:xfrm>
            <a:prstGeom prst="rect">
              <a:avLst/>
            </a:prstGeom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zh-CN" altLang="en-US" sz="900" b="0" i="0" u="none" strike="noStrike" baseline="0">
                  <a:solidFill>
                    <a:srgbClr val="000000"/>
                  </a:solidFill>
                  <a:latin typeface="Microsoft YaHei UI" charset="-122"/>
                  <a:ea typeface="Microsoft YaHei UI" charset="-122"/>
                </a:rPr>
                <a:t>不确定</a:t>
              </a:r>
              <a:endParaRPr lang="zh-CN" altLang="en-US" sz="900" b="0" i="0" u="none" strike="noStrike" baseline="0">
                <a:solidFill>
                  <a:srgbClr val="000000"/>
                </a:solidFill>
                <a:latin typeface="Microsoft YaHei UI" charset="-122"/>
                <a:ea typeface="Microsoft YaHei UI" charset="-122"/>
              </a:endParaRP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12</xdr:col>
          <xdr:colOff>1066800</xdr:colOff>
          <xdr:row>9</xdr:row>
          <xdr:rowOff>0</xdr:rowOff>
        </xdr:from>
        <xdr:to>
          <xdr:col>13</xdr:col>
          <xdr:colOff>660400</xdr:colOff>
          <xdr:row>10</xdr:row>
          <xdr:rowOff>165100</xdr:rowOff>
        </xdr:to>
        <xdr:sp>
          <xdr:nvSpPr>
            <xdr:cNvPr id="6455" name="Check Box 311" hidden="1">
              <a:extLst>
                <a:ext uri="{63B3BB69-23CF-44E3-9099-C40C66FF867C}">
                  <a14:compatExt spid="_x0000_s6455"/>
                </a:ext>
              </a:extLst>
            </xdr:cNvPr>
            <xdr:cNvSpPr/>
          </xdr:nvSpPr>
          <xdr:spPr>
            <a:xfrm>
              <a:off x="17077690" y="2717800"/>
              <a:ext cx="660400" cy="457200"/>
            </a:xfrm>
            <a:prstGeom prst="rect">
              <a:avLst/>
            </a:prstGeom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zh-CN" altLang="en-US" sz="900" b="0" i="0" u="none" strike="noStrike" baseline="0">
                  <a:solidFill>
                    <a:srgbClr val="000000"/>
                  </a:solidFill>
                  <a:latin typeface="Microsoft YaHei UI" charset="-122"/>
                  <a:ea typeface="Microsoft YaHei UI" charset="-122"/>
                </a:rPr>
                <a:t>合理</a:t>
              </a:r>
              <a:endParaRPr lang="zh-CN" altLang="en-US" sz="900" b="0" i="0" u="none" strike="noStrike" baseline="0">
                <a:solidFill>
                  <a:srgbClr val="000000"/>
                </a:solidFill>
                <a:latin typeface="Microsoft YaHei UI" charset="-122"/>
                <a:ea typeface="Microsoft YaHei UI" charset="-122"/>
              </a:endParaRP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13</xdr:col>
          <xdr:colOff>533400</xdr:colOff>
          <xdr:row>9</xdr:row>
          <xdr:rowOff>0</xdr:rowOff>
        </xdr:from>
        <xdr:to>
          <xdr:col>13</xdr:col>
          <xdr:colOff>1282700</xdr:colOff>
          <xdr:row>10</xdr:row>
          <xdr:rowOff>165100</xdr:rowOff>
        </xdr:to>
        <xdr:sp>
          <xdr:nvSpPr>
            <xdr:cNvPr id="6456" name="Check Box 312" hidden="1">
              <a:extLst>
                <a:ext uri="{63B3BB69-23CF-44E3-9099-C40C66FF867C}">
                  <a14:compatExt spid="_x0000_s6456"/>
                </a:ext>
              </a:extLst>
            </xdr:cNvPr>
            <xdr:cNvSpPr/>
          </xdr:nvSpPr>
          <xdr:spPr>
            <a:xfrm>
              <a:off x="17611090" y="2717800"/>
              <a:ext cx="749300" cy="457200"/>
            </a:xfrm>
            <a:prstGeom prst="rect">
              <a:avLst/>
            </a:prstGeom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zh-CN" altLang="en-US" sz="900" b="0" i="0" u="none" strike="noStrike" baseline="0">
                  <a:solidFill>
                    <a:srgbClr val="000000"/>
                  </a:solidFill>
                  <a:latin typeface="Microsoft YaHei UI" charset="-122"/>
                  <a:ea typeface="Microsoft YaHei UI" charset="-122"/>
                </a:rPr>
                <a:t>不合理</a:t>
              </a:r>
              <a:endParaRPr lang="zh-CN" altLang="en-US" sz="900" b="0" i="0" u="none" strike="noStrike" baseline="0">
                <a:solidFill>
                  <a:srgbClr val="000000"/>
                </a:solidFill>
                <a:latin typeface="Microsoft YaHei UI" charset="-122"/>
                <a:ea typeface="Microsoft YaHei UI" charset="-122"/>
              </a:endParaRP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12</xdr:col>
          <xdr:colOff>1066800</xdr:colOff>
          <xdr:row>10</xdr:row>
          <xdr:rowOff>0</xdr:rowOff>
        </xdr:from>
        <xdr:to>
          <xdr:col>13</xdr:col>
          <xdr:colOff>660400</xdr:colOff>
          <xdr:row>11</xdr:row>
          <xdr:rowOff>165100</xdr:rowOff>
        </xdr:to>
        <xdr:sp>
          <xdr:nvSpPr>
            <xdr:cNvPr id="6457" name="Check Box 313" hidden="1">
              <a:extLst>
                <a:ext uri="{63B3BB69-23CF-44E3-9099-C40C66FF867C}">
                  <a14:compatExt spid="_x0000_s6457"/>
                </a:ext>
              </a:extLst>
            </xdr:cNvPr>
            <xdr:cNvSpPr/>
          </xdr:nvSpPr>
          <xdr:spPr>
            <a:xfrm>
              <a:off x="17077690" y="3009900"/>
              <a:ext cx="660400" cy="457200"/>
            </a:xfrm>
            <a:prstGeom prst="rect">
              <a:avLst/>
            </a:prstGeom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zh-CN" altLang="en-US" sz="900" b="0" i="0" u="none" strike="noStrike" baseline="0">
                  <a:solidFill>
                    <a:srgbClr val="000000"/>
                  </a:solidFill>
                  <a:latin typeface="Microsoft YaHei UI" charset="-122"/>
                  <a:ea typeface="Microsoft YaHei UI" charset="-122"/>
                </a:rPr>
                <a:t>合理</a:t>
              </a:r>
              <a:endParaRPr lang="zh-CN" altLang="en-US" sz="900" b="0" i="0" u="none" strike="noStrike" baseline="0">
                <a:solidFill>
                  <a:srgbClr val="000000"/>
                </a:solidFill>
                <a:latin typeface="Microsoft YaHei UI" charset="-122"/>
                <a:ea typeface="Microsoft YaHei UI" charset="-122"/>
              </a:endParaRP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13</xdr:col>
          <xdr:colOff>533400</xdr:colOff>
          <xdr:row>10</xdr:row>
          <xdr:rowOff>0</xdr:rowOff>
        </xdr:from>
        <xdr:to>
          <xdr:col>13</xdr:col>
          <xdr:colOff>1282700</xdr:colOff>
          <xdr:row>11</xdr:row>
          <xdr:rowOff>165100</xdr:rowOff>
        </xdr:to>
        <xdr:sp>
          <xdr:nvSpPr>
            <xdr:cNvPr id="6458" name="Check Box 314" hidden="1">
              <a:extLst>
                <a:ext uri="{63B3BB69-23CF-44E3-9099-C40C66FF867C}">
                  <a14:compatExt spid="_x0000_s6458"/>
                </a:ext>
              </a:extLst>
            </xdr:cNvPr>
            <xdr:cNvSpPr/>
          </xdr:nvSpPr>
          <xdr:spPr>
            <a:xfrm>
              <a:off x="17611090" y="3009900"/>
              <a:ext cx="749300" cy="457200"/>
            </a:xfrm>
            <a:prstGeom prst="rect">
              <a:avLst/>
            </a:prstGeom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zh-CN" altLang="en-US" sz="900" b="0" i="0" u="none" strike="noStrike" baseline="0">
                  <a:solidFill>
                    <a:srgbClr val="000000"/>
                  </a:solidFill>
                  <a:latin typeface="Microsoft YaHei UI" charset="-122"/>
                  <a:ea typeface="Microsoft YaHei UI" charset="-122"/>
                </a:rPr>
                <a:t>不合理</a:t>
              </a:r>
              <a:endParaRPr lang="zh-CN" altLang="en-US" sz="900" b="0" i="0" u="none" strike="noStrike" baseline="0">
                <a:solidFill>
                  <a:srgbClr val="000000"/>
                </a:solidFill>
                <a:latin typeface="Microsoft YaHei UI" charset="-122"/>
                <a:ea typeface="Microsoft YaHei UI" charset="-122"/>
              </a:endParaRP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12</xdr:col>
          <xdr:colOff>1066800</xdr:colOff>
          <xdr:row>11</xdr:row>
          <xdr:rowOff>0</xdr:rowOff>
        </xdr:from>
        <xdr:to>
          <xdr:col>13</xdr:col>
          <xdr:colOff>660400</xdr:colOff>
          <xdr:row>12</xdr:row>
          <xdr:rowOff>165100</xdr:rowOff>
        </xdr:to>
        <xdr:sp>
          <xdr:nvSpPr>
            <xdr:cNvPr id="6459" name="Check Box 315" hidden="1">
              <a:extLst>
                <a:ext uri="{63B3BB69-23CF-44E3-9099-C40C66FF867C}">
                  <a14:compatExt spid="_x0000_s6459"/>
                </a:ext>
              </a:extLst>
            </xdr:cNvPr>
            <xdr:cNvSpPr/>
          </xdr:nvSpPr>
          <xdr:spPr>
            <a:xfrm>
              <a:off x="17077690" y="3302000"/>
              <a:ext cx="660400" cy="457200"/>
            </a:xfrm>
            <a:prstGeom prst="rect">
              <a:avLst/>
            </a:prstGeom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zh-CN" altLang="en-US" sz="900" b="0" i="0" u="none" strike="noStrike" baseline="0">
                  <a:solidFill>
                    <a:srgbClr val="000000"/>
                  </a:solidFill>
                  <a:latin typeface="Microsoft YaHei UI" charset="-122"/>
                  <a:ea typeface="Microsoft YaHei UI" charset="-122"/>
                </a:rPr>
                <a:t>合理</a:t>
              </a:r>
              <a:endParaRPr lang="zh-CN" altLang="en-US" sz="900" b="0" i="0" u="none" strike="noStrike" baseline="0">
                <a:solidFill>
                  <a:srgbClr val="000000"/>
                </a:solidFill>
                <a:latin typeface="Microsoft YaHei UI" charset="-122"/>
                <a:ea typeface="Microsoft YaHei UI" charset="-122"/>
              </a:endParaRP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13</xdr:col>
          <xdr:colOff>533400</xdr:colOff>
          <xdr:row>11</xdr:row>
          <xdr:rowOff>0</xdr:rowOff>
        </xdr:from>
        <xdr:to>
          <xdr:col>13</xdr:col>
          <xdr:colOff>1282700</xdr:colOff>
          <xdr:row>12</xdr:row>
          <xdr:rowOff>165100</xdr:rowOff>
        </xdr:to>
        <xdr:sp>
          <xdr:nvSpPr>
            <xdr:cNvPr id="6460" name="Check Box 316" hidden="1">
              <a:extLst>
                <a:ext uri="{63B3BB69-23CF-44E3-9099-C40C66FF867C}">
                  <a14:compatExt spid="_x0000_s6460"/>
                </a:ext>
              </a:extLst>
            </xdr:cNvPr>
            <xdr:cNvSpPr/>
          </xdr:nvSpPr>
          <xdr:spPr>
            <a:xfrm>
              <a:off x="17611090" y="3302000"/>
              <a:ext cx="749300" cy="457200"/>
            </a:xfrm>
            <a:prstGeom prst="rect">
              <a:avLst/>
            </a:prstGeom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zh-CN" altLang="en-US" sz="900" b="0" i="0" u="none" strike="noStrike" baseline="0">
                  <a:solidFill>
                    <a:srgbClr val="000000"/>
                  </a:solidFill>
                  <a:latin typeface="Microsoft YaHei UI" charset="-122"/>
                  <a:ea typeface="Microsoft YaHei UI" charset="-122"/>
                </a:rPr>
                <a:t>不合理</a:t>
              </a:r>
              <a:endParaRPr lang="zh-CN" altLang="en-US" sz="900" b="0" i="0" u="none" strike="noStrike" baseline="0">
                <a:solidFill>
                  <a:srgbClr val="000000"/>
                </a:solidFill>
                <a:latin typeface="Microsoft YaHei UI" charset="-122"/>
                <a:ea typeface="Microsoft YaHei UI" charset="-122"/>
              </a:endParaRP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762000</xdr:colOff>
          <xdr:row>5</xdr:row>
          <xdr:rowOff>0</xdr:rowOff>
        </xdr:from>
        <xdr:to>
          <xdr:col>7</xdr:col>
          <xdr:colOff>495300</xdr:colOff>
          <xdr:row>6</xdr:row>
          <xdr:rowOff>88900</xdr:rowOff>
        </xdr:to>
        <xdr:sp>
          <xdr:nvSpPr>
            <xdr:cNvPr id="6461" name="Check Box 317" hidden="1">
              <a:extLst>
                <a:ext uri="{63B3BB69-23CF-44E3-9099-C40C66FF867C}">
                  <a14:compatExt spid="_x0000_s6461"/>
                </a:ext>
              </a:extLst>
            </xdr:cNvPr>
            <xdr:cNvSpPr/>
          </xdr:nvSpPr>
          <xdr:spPr>
            <a:xfrm>
              <a:off x="8855710" y="1524000"/>
              <a:ext cx="716915" cy="381000"/>
            </a:xfrm>
            <a:prstGeom prst="rect">
              <a:avLst/>
            </a:prstGeom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zh-CN" altLang="en-US" sz="900" b="0" i="0" u="none" strike="noStrike" baseline="0">
                  <a:solidFill>
                    <a:srgbClr val="000000"/>
                  </a:solidFill>
                  <a:latin typeface="Microsoft YaHei UI" charset="-122"/>
                  <a:ea typeface="Microsoft YaHei UI" charset="-122"/>
                </a:rPr>
                <a:t>视频</a:t>
              </a:r>
              <a:endParaRPr lang="zh-CN" altLang="en-US" sz="900" b="0" i="0" u="none" strike="noStrike" baseline="0">
                <a:solidFill>
                  <a:srgbClr val="000000"/>
                </a:solidFill>
                <a:latin typeface="Microsoft YaHei UI" charset="-122"/>
                <a:ea typeface="Microsoft YaHei UI" charset="-122"/>
              </a:endParaRP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228600</xdr:colOff>
          <xdr:row>5</xdr:row>
          <xdr:rowOff>0</xdr:rowOff>
        </xdr:from>
        <xdr:to>
          <xdr:col>8</xdr:col>
          <xdr:colOff>990600</xdr:colOff>
          <xdr:row>6</xdr:row>
          <xdr:rowOff>165100</xdr:rowOff>
        </xdr:to>
        <xdr:sp>
          <xdr:nvSpPr>
            <xdr:cNvPr id="6462" name="Check Box 318" hidden="1">
              <a:extLst>
                <a:ext uri="{63B3BB69-23CF-44E3-9099-C40C66FF867C}">
                  <a14:compatExt spid="_x0000_s6462"/>
                </a:ext>
              </a:extLst>
            </xdr:cNvPr>
            <xdr:cNvSpPr/>
          </xdr:nvSpPr>
          <xdr:spPr>
            <a:xfrm>
              <a:off x="10490835" y="1524000"/>
              <a:ext cx="762000" cy="457200"/>
            </a:xfrm>
            <a:prstGeom prst="rect">
              <a:avLst/>
            </a:prstGeom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zh-CN" altLang="en-US" sz="900" b="0" i="0" u="none" strike="noStrike" baseline="0">
                  <a:solidFill>
                    <a:srgbClr val="000000"/>
                  </a:solidFill>
                  <a:latin typeface="Microsoft YaHei UI" charset="-122"/>
                  <a:ea typeface="Microsoft YaHei UI" charset="-122"/>
                </a:rPr>
                <a:t>现场</a:t>
              </a:r>
              <a:endParaRPr lang="zh-CN" altLang="en-US" sz="900" b="0" i="0" u="none" strike="noStrike" baseline="0">
                <a:solidFill>
                  <a:srgbClr val="000000"/>
                </a:solidFill>
                <a:latin typeface="Microsoft YaHei UI" charset="-122"/>
                <a:ea typeface="Microsoft YaHei UI" charset="-122"/>
              </a:endParaRP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952500</xdr:colOff>
          <xdr:row>5</xdr:row>
          <xdr:rowOff>0</xdr:rowOff>
        </xdr:from>
        <xdr:to>
          <xdr:col>10</xdr:col>
          <xdr:colOff>533400</xdr:colOff>
          <xdr:row>6</xdr:row>
          <xdr:rowOff>165100</xdr:rowOff>
        </xdr:to>
        <xdr:sp>
          <xdr:nvSpPr>
            <xdr:cNvPr id="6463" name="Check Box 319" hidden="1">
              <a:extLst>
                <a:ext uri="{63B3BB69-23CF-44E3-9099-C40C66FF867C}">
                  <a14:compatExt spid="_x0000_s6463"/>
                </a:ext>
              </a:extLst>
            </xdr:cNvPr>
            <xdr:cNvSpPr/>
          </xdr:nvSpPr>
          <xdr:spPr>
            <a:xfrm>
              <a:off x="13739495" y="1524000"/>
              <a:ext cx="647700" cy="457200"/>
            </a:xfrm>
            <a:prstGeom prst="rect">
              <a:avLst/>
            </a:prstGeom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zh-CN" altLang="en-US" sz="900" b="0" i="0" u="none" strike="noStrike" baseline="0">
                  <a:solidFill>
                    <a:srgbClr val="000000"/>
                  </a:solidFill>
                  <a:latin typeface="Microsoft YaHei UI" charset="-122"/>
                  <a:ea typeface="Microsoft YaHei UI" charset="-122"/>
                </a:rPr>
                <a:t>视频</a:t>
              </a:r>
              <a:endParaRPr lang="zh-CN" altLang="en-US" sz="900" b="0" i="0" u="none" strike="noStrike" baseline="0">
                <a:solidFill>
                  <a:srgbClr val="000000"/>
                </a:solidFill>
                <a:latin typeface="Microsoft YaHei UI" charset="-122"/>
                <a:ea typeface="Microsoft YaHei UI" charset="-122"/>
              </a:endParaRP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228600</xdr:colOff>
          <xdr:row>5</xdr:row>
          <xdr:rowOff>0</xdr:rowOff>
        </xdr:from>
        <xdr:to>
          <xdr:col>11</xdr:col>
          <xdr:colOff>990600</xdr:colOff>
          <xdr:row>6</xdr:row>
          <xdr:rowOff>165100</xdr:rowOff>
        </xdr:to>
        <xdr:sp>
          <xdr:nvSpPr>
            <xdr:cNvPr id="6464" name="Check Box 320" hidden="1">
              <a:extLst>
                <a:ext uri="{63B3BB69-23CF-44E3-9099-C40C66FF867C}">
                  <a14:compatExt spid="_x0000_s6464"/>
                </a:ext>
              </a:extLst>
            </xdr:cNvPr>
            <xdr:cNvSpPr/>
          </xdr:nvSpPr>
          <xdr:spPr>
            <a:xfrm>
              <a:off x="15101570" y="1524000"/>
              <a:ext cx="762000" cy="457200"/>
            </a:xfrm>
            <a:prstGeom prst="rect">
              <a:avLst/>
            </a:prstGeom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zh-CN" altLang="en-US" sz="900" b="0" i="0" u="none" strike="noStrike" baseline="0">
                  <a:solidFill>
                    <a:srgbClr val="000000"/>
                  </a:solidFill>
                  <a:latin typeface="Microsoft YaHei UI" charset="-122"/>
                  <a:ea typeface="Microsoft YaHei UI" charset="-122"/>
                </a:rPr>
                <a:t>现场</a:t>
              </a:r>
              <a:endParaRPr lang="zh-CN" altLang="en-US" sz="900" b="0" i="0" u="none" strike="noStrike" baseline="0">
                <a:solidFill>
                  <a:srgbClr val="000000"/>
                </a:solidFill>
                <a:latin typeface="Microsoft YaHei UI" charset="-122"/>
                <a:ea typeface="Microsoft YaHei UI" charset="-122"/>
              </a:endParaRP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12</xdr:col>
          <xdr:colOff>838200</xdr:colOff>
          <xdr:row>5</xdr:row>
          <xdr:rowOff>0</xdr:rowOff>
        </xdr:from>
        <xdr:to>
          <xdr:col>13</xdr:col>
          <xdr:colOff>431800</xdr:colOff>
          <xdr:row>6</xdr:row>
          <xdr:rowOff>165100</xdr:rowOff>
        </xdr:to>
        <xdr:sp>
          <xdr:nvSpPr>
            <xdr:cNvPr id="6465" name="Check Box 321" hidden="1">
              <a:extLst>
                <a:ext uri="{63B3BB69-23CF-44E3-9099-C40C66FF867C}">
                  <a14:compatExt spid="_x0000_s6465"/>
                </a:ext>
              </a:extLst>
            </xdr:cNvPr>
            <xdr:cNvSpPr/>
          </xdr:nvSpPr>
          <xdr:spPr>
            <a:xfrm>
              <a:off x="16849090" y="1524000"/>
              <a:ext cx="660400" cy="457200"/>
            </a:xfrm>
            <a:prstGeom prst="rect">
              <a:avLst/>
            </a:prstGeom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zh-CN" altLang="en-US" sz="900" b="0" i="0" u="none" strike="noStrike" baseline="0">
                  <a:solidFill>
                    <a:srgbClr val="000000"/>
                  </a:solidFill>
                  <a:latin typeface="Microsoft YaHei UI" charset="-122"/>
                  <a:ea typeface="Microsoft YaHei UI" charset="-122"/>
                </a:rPr>
                <a:t>视频</a:t>
              </a:r>
              <a:endParaRPr lang="zh-CN" altLang="en-US" sz="900" b="0" i="0" u="none" strike="noStrike" baseline="0">
                <a:solidFill>
                  <a:srgbClr val="000000"/>
                </a:solidFill>
                <a:latin typeface="Microsoft YaHei UI" charset="-122"/>
                <a:ea typeface="Microsoft YaHei UI" charset="-122"/>
              </a:endParaRP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13</xdr:col>
          <xdr:colOff>330200</xdr:colOff>
          <xdr:row>5</xdr:row>
          <xdr:rowOff>0</xdr:rowOff>
        </xdr:from>
        <xdr:to>
          <xdr:col>13</xdr:col>
          <xdr:colOff>1079500</xdr:colOff>
          <xdr:row>6</xdr:row>
          <xdr:rowOff>165100</xdr:rowOff>
        </xdr:to>
        <xdr:sp>
          <xdr:nvSpPr>
            <xdr:cNvPr id="6466" name="Check Box 322" hidden="1">
              <a:extLst>
                <a:ext uri="{63B3BB69-23CF-44E3-9099-C40C66FF867C}">
                  <a14:compatExt spid="_x0000_s6466"/>
                </a:ext>
              </a:extLst>
            </xdr:cNvPr>
            <xdr:cNvSpPr/>
          </xdr:nvSpPr>
          <xdr:spPr>
            <a:xfrm>
              <a:off x="17407890" y="1524000"/>
              <a:ext cx="749300" cy="457200"/>
            </a:xfrm>
            <a:prstGeom prst="rect">
              <a:avLst/>
            </a:prstGeom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zh-CN" altLang="en-US" sz="900" b="0" i="0" u="none" strike="noStrike" baseline="0">
                  <a:solidFill>
                    <a:srgbClr val="000000"/>
                  </a:solidFill>
                  <a:latin typeface="Microsoft YaHei UI" charset="-122"/>
                  <a:ea typeface="Microsoft YaHei UI" charset="-122"/>
                </a:rPr>
                <a:t>现场</a:t>
              </a:r>
              <a:endParaRPr lang="zh-CN" altLang="en-US" sz="900" b="0" i="0" u="none" strike="noStrike" baseline="0">
                <a:solidFill>
                  <a:srgbClr val="000000"/>
                </a:solidFill>
                <a:latin typeface="Microsoft YaHei UI" charset="-122"/>
                <a:ea typeface="Microsoft YaHei UI" charset="-122"/>
              </a:endParaRPr>
            </a:p>
          </xdr:txBody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9" Type="http://schemas.openxmlformats.org/officeDocument/2006/relationships/ctrlProp" Target="../ctrlProps/ctrlProp7.xml"/><Relationship Id="rId8" Type="http://schemas.openxmlformats.org/officeDocument/2006/relationships/ctrlProp" Target="../ctrlProps/ctrlProp6.xml"/><Relationship Id="rId7" Type="http://schemas.openxmlformats.org/officeDocument/2006/relationships/ctrlProp" Target="../ctrlProps/ctrlProp5.xml"/><Relationship Id="rId6" Type="http://schemas.openxmlformats.org/officeDocument/2006/relationships/ctrlProp" Target="../ctrlProps/ctrlProp4.xml"/><Relationship Id="rId5" Type="http://schemas.openxmlformats.org/officeDocument/2006/relationships/ctrlProp" Target="../ctrlProps/ctrlProp3.xml"/><Relationship Id="rId4" Type="http://schemas.openxmlformats.org/officeDocument/2006/relationships/ctrlProp" Target="../ctrlProps/ctrlProp2.xml"/><Relationship Id="rId32" Type="http://schemas.openxmlformats.org/officeDocument/2006/relationships/ctrlProp" Target="../ctrlProps/ctrlProp30.xml"/><Relationship Id="rId31" Type="http://schemas.openxmlformats.org/officeDocument/2006/relationships/ctrlProp" Target="../ctrlProps/ctrlProp29.xml"/><Relationship Id="rId30" Type="http://schemas.openxmlformats.org/officeDocument/2006/relationships/ctrlProp" Target="../ctrlProps/ctrlProp28.xml"/><Relationship Id="rId3" Type="http://schemas.openxmlformats.org/officeDocument/2006/relationships/ctrlProp" Target="../ctrlProps/ctrlProp1.xml"/><Relationship Id="rId29" Type="http://schemas.openxmlformats.org/officeDocument/2006/relationships/ctrlProp" Target="../ctrlProps/ctrlProp27.xml"/><Relationship Id="rId28" Type="http://schemas.openxmlformats.org/officeDocument/2006/relationships/ctrlProp" Target="../ctrlProps/ctrlProp26.xml"/><Relationship Id="rId27" Type="http://schemas.openxmlformats.org/officeDocument/2006/relationships/ctrlProp" Target="../ctrlProps/ctrlProp25.xml"/><Relationship Id="rId26" Type="http://schemas.openxmlformats.org/officeDocument/2006/relationships/ctrlProp" Target="../ctrlProps/ctrlProp24.xml"/><Relationship Id="rId25" Type="http://schemas.openxmlformats.org/officeDocument/2006/relationships/ctrlProp" Target="../ctrlProps/ctrlProp23.xml"/><Relationship Id="rId24" Type="http://schemas.openxmlformats.org/officeDocument/2006/relationships/ctrlProp" Target="../ctrlProps/ctrlProp22.xml"/><Relationship Id="rId23" Type="http://schemas.openxmlformats.org/officeDocument/2006/relationships/ctrlProp" Target="../ctrlProps/ctrlProp21.xml"/><Relationship Id="rId22" Type="http://schemas.openxmlformats.org/officeDocument/2006/relationships/ctrlProp" Target="../ctrlProps/ctrlProp20.xml"/><Relationship Id="rId21" Type="http://schemas.openxmlformats.org/officeDocument/2006/relationships/ctrlProp" Target="../ctrlProps/ctrlProp19.xml"/><Relationship Id="rId20" Type="http://schemas.openxmlformats.org/officeDocument/2006/relationships/ctrlProp" Target="../ctrlProps/ctrlProp18.xml"/><Relationship Id="rId2" Type="http://schemas.openxmlformats.org/officeDocument/2006/relationships/vmlDrawing" Target="../drawings/vmlDrawing1.vml"/><Relationship Id="rId19" Type="http://schemas.openxmlformats.org/officeDocument/2006/relationships/ctrlProp" Target="../ctrlProps/ctrlProp17.xml"/><Relationship Id="rId18" Type="http://schemas.openxmlformats.org/officeDocument/2006/relationships/ctrlProp" Target="../ctrlProps/ctrlProp16.xml"/><Relationship Id="rId17" Type="http://schemas.openxmlformats.org/officeDocument/2006/relationships/ctrlProp" Target="../ctrlProps/ctrlProp15.xml"/><Relationship Id="rId16" Type="http://schemas.openxmlformats.org/officeDocument/2006/relationships/ctrlProp" Target="../ctrlProps/ctrlProp14.xml"/><Relationship Id="rId15" Type="http://schemas.openxmlformats.org/officeDocument/2006/relationships/ctrlProp" Target="../ctrlProps/ctrlProp13.xml"/><Relationship Id="rId14" Type="http://schemas.openxmlformats.org/officeDocument/2006/relationships/ctrlProp" Target="../ctrlProps/ctrlProp12.xml"/><Relationship Id="rId13" Type="http://schemas.openxmlformats.org/officeDocument/2006/relationships/ctrlProp" Target="../ctrlProps/ctrlProp11.xml"/><Relationship Id="rId12" Type="http://schemas.openxmlformats.org/officeDocument/2006/relationships/ctrlProp" Target="../ctrlProps/ctrlProp10.xml"/><Relationship Id="rId11" Type="http://schemas.openxmlformats.org/officeDocument/2006/relationships/ctrlProp" Target="../ctrlProps/ctrlProp9.xml"/><Relationship Id="rId10" Type="http://schemas.openxmlformats.org/officeDocument/2006/relationships/ctrlProp" Target="../ctrlProps/ctrlProp8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45"/>
  <sheetViews>
    <sheetView showGridLines="0" tabSelected="1" zoomScale="98" zoomScaleNormal="98" workbookViewId="0">
      <selection activeCell="J30" sqref="J30"/>
    </sheetView>
  </sheetViews>
  <sheetFormatPr defaultColWidth="9" defaultRowHeight="24" customHeight="1"/>
  <cols>
    <col min="1" max="1" width="18.6607142857143" style="46" customWidth="1"/>
    <col min="2" max="2" width="15.1607142857143" style="46" customWidth="1"/>
    <col min="3" max="3" width="21.8303571428571" style="46" customWidth="1"/>
    <col min="4" max="4" width="15.1607142857143" style="46" customWidth="1"/>
    <col min="5" max="5" width="25.1607142857143" style="46" customWidth="1"/>
    <col min="6" max="6" width="17.8303571428571" style="46" customWidth="1"/>
    <col min="7" max="7" width="13.8303571428571" style="46" customWidth="1"/>
    <col min="8" max="8" width="16.6607142857143" style="46" customWidth="1"/>
    <col min="9" max="9" width="35.5" style="46" customWidth="1"/>
    <col min="10" max="10" width="15" style="46" customWidth="1"/>
    <col min="11" max="11" width="14.3303571428571" style="46" customWidth="1"/>
    <col min="12" max="12" width="16" style="46" customWidth="1"/>
    <col min="13" max="13" width="15" style="46" customWidth="1"/>
    <col min="14" max="14" width="23.1607142857143" style="46" customWidth="1"/>
    <col min="15" max="16376" width="9" style="46"/>
  </cols>
  <sheetData>
    <row r="1" customHeight="1" spans="1:15">
      <c r="A1" s="47" t="s">
        <v>0</v>
      </c>
      <c r="B1" s="47"/>
      <c r="C1" s="47"/>
      <c r="D1" s="47"/>
      <c r="E1" s="47"/>
      <c r="F1" s="47"/>
      <c r="G1" s="47"/>
      <c r="H1" s="47"/>
      <c r="I1" s="47"/>
      <c r="J1" s="47"/>
      <c r="K1" s="47"/>
      <c r="L1" s="47"/>
      <c r="M1" s="47"/>
      <c r="N1" s="47"/>
      <c r="O1" s="47"/>
    </row>
    <row r="2" customHeight="1" spans="1:15">
      <c r="A2" s="48" t="s">
        <v>1</v>
      </c>
      <c r="B2" s="48"/>
      <c r="C2" s="48"/>
      <c r="D2" s="48"/>
      <c r="E2" s="48"/>
      <c r="F2" s="48"/>
      <c r="G2" s="49" t="s">
        <v>2</v>
      </c>
      <c r="H2" s="49"/>
      <c r="I2" s="49"/>
      <c r="J2" s="49" t="s">
        <v>3</v>
      </c>
      <c r="K2" s="49"/>
      <c r="L2" s="49"/>
      <c r="M2" s="47" t="s">
        <v>4</v>
      </c>
      <c r="N2" s="47"/>
      <c r="O2" s="47"/>
    </row>
    <row r="3" ht="29" customHeight="1" spans="1:15">
      <c r="A3" s="50" t="s">
        <v>5</v>
      </c>
      <c r="B3" s="51" t="s">
        <v>6</v>
      </c>
      <c r="C3" s="52" t="s">
        <v>7</v>
      </c>
      <c r="D3" s="53" t="s">
        <v>8</v>
      </c>
      <c r="E3" s="54" t="s">
        <v>9</v>
      </c>
      <c r="F3" s="55">
        <v>1993</v>
      </c>
      <c r="G3" s="56" t="s">
        <v>10</v>
      </c>
      <c r="H3" s="56"/>
      <c r="I3" s="57"/>
      <c r="J3" s="58" t="s">
        <v>11</v>
      </c>
      <c r="K3" s="58"/>
      <c r="L3" s="59"/>
      <c r="M3" s="60" t="s">
        <v>12</v>
      </c>
      <c r="N3" s="61"/>
      <c r="O3" s="62"/>
    </row>
    <row r="4" ht="23" customHeight="1" spans="1:15">
      <c r="A4" s="63" t="s">
        <v>13</v>
      </c>
      <c r="B4" s="64" t="s">
        <v>14</v>
      </c>
      <c r="C4" s="53" t="s">
        <v>15</v>
      </c>
      <c r="D4" s="53" t="s">
        <v>16</v>
      </c>
      <c r="E4" s="65" t="s">
        <v>17</v>
      </c>
      <c r="F4" s="66" t="s">
        <v>18</v>
      </c>
      <c r="G4" s="67" t="s">
        <v>19</v>
      </c>
      <c r="H4" s="68"/>
      <c r="I4" s="69"/>
      <c r="J4" s="70" t="s">
        <v>20</v>
      </c>
      <c r="K4" s="71"/>
      <c r="L4" s="72"/>
      <c r="M4" s="60"/>
      <c r="N4" s="61"/>
      <c r="O4" s="62"/>
    </row>
    <row r="5" ht="20" customHeight="1" spans="1:15">
      <c r="A5" s="63" t="s">
        <v>21</v>
      </c>
      <c r="B5" s="73" t="s">
        <v>22</v>
      </c>
      <c r="C5" s="53" t="s">
        <v>23</v>
      </c>
      <c r="D5" s="54" t="s">
        <v>24</v>
      </c>
      <c r="E5" s="54" t="s">
        <v>25</v>
      </c>
      <c r="F5" s="55">
        <v>90</v>
      </c>
      <c r="G5" s="74" t="s">
        <v>26</v>
      </c>
      <c r="H5" s="74"/>
      <c r="I5" s="74"/>
      <c r="J5" s="75" t="s">
        <v>26</v>
      </c>
      <c r="K5" s="75"/>
      <c r="L5" s="75"/>
      <c r="M5" s="60" t="s">
        <v>26</v>
      </c>
      <c r="N5" s="61"/>
      <c r="O5" s="62"/>
    </row>
    <row r="6" ht="23" customHeight="1" spans="1:15">
      <c r="A6" s="76" t="s">
        <v>27</v>
      </c>
      <c r="B6" s="77">
        <v>22.5</v>
      </c>
      <c r="C6" s="78" t="s">
        <v>28</v>
      </c>
      <c r="D6" s="78" t="s">
        <v>29</v>
      </c>
      <c r="E6" s="79" t="s">
        <v>30</v>
      </c>
      <c r="F6" s="66" t="s">
        <v>31</v>
      </c>
      <c r="G6" s="80"/>
      <c r="H6" s="81"/>
      <c r="I6" s="82"/>
      <c r="J6" s="83"/>
      <c r="K6" s="84"/>
      <c r="L6" s="85"/>
      <c r="M6" s="86"/>
      <c r="N6" s="86"/>
      <c r="O6" s="86"/>
    </row>
    <row r="7" ht="23" customHeight="1" spans="1:15">
      <c r="A7" s="76" t="s">
        <v>32</v>
      </c>
      <c r="B7" s="77" t="s">
        <v>33</v>
      </c>
      <c r="C7" s="78" t="s">
        <v>34</v>
      </c>
      <c r="D7" s="78" t="s">
        <v>35</v>
      </c>
      <c r="E7" s="78" t="s">
        <v>36</v>
      </c>
      <c r="F7" s="55" t="s">
        <v>37</v>
      </c>
      <c r="G7" s="67"/>
      <c r="H7" s="68"/>
      <c r="I7" s="69"/>
      <c r="J7" s="70"/>
      <c r="K7" s="71"/>
      <c r="L7" s="72"/>
      <c r="M7" s="60"/>
      <c r="N7" s="61"/>
      <c r="O7" s="62"/>
    </row>
    <row r="8" customHeight="1" spans="1:15">
      <c r="A8" s="47" t="s">
        <v>38</v>
      </c>
      <c r="B8" s="47"/>
      <c r="C8" s="47"/>
      <c r="D8" s="47"/>
      <c r="E8" s="47"/>
      <c r="F8" s="47"/>
      <c r="G8" s="47"/>
      <c r="H8" s="47"/>
      <c r="I8" s="47"/>
      <c r="J8" s="47"/>
      <c r="K8" s="47"/>
      <c r="L8" s="47"/>
      <c r="M8" s="47"/>
      <c r="N8" s="47"/>
      <c r="O8" s="47"/>
    </row>
    <row r="9" customHeight="1" spans="1:15">
      <c r="A9" s="48" t="s">
        <v>39</v>
      </c>
      <c r="B9" s="48"/>
      <c r="C9" s="48"/>
      <c r="D9" s="48"/>
      <c r="E9" s="48"/>
      <c r="F9" s="48"/>
      <c r="G9" s="49" t="s">
        <v>2</v>
      </c>
      <c r="H9" s="49"/>
      <c r="I9" s="49"/>
      <c r="J9" s="49" t="s">
        <v>3</v>
      </c>
      <c r="K9" s="49"/>
      <c r="L9" s="49"/>
      <c r="M9" s="47" t="s">
        <v>4</v>
      </c>
      <c r="N9" s="47"/>
      <c r="O9" s="47"/>
    </row>
    <row r="10" ht="23" customHeight="1" spans="1:15">
      <c r="A10" s="87"/>
      <c r="B10" s="88"/>
      <c r="C10" s="88"/>
      <c r="D10" s="88"/>
      <c r="E10" s="88"/>
      <c r="F10" s="89"/>
      <c r="G10" s="90"/>
      <c r="H10" s="91"/>
      <c r="I10" s="92"/>
      <c r="J10" s="93"/>
      <c r="K10" s="94"/>
      <c r="L10" s="95"/>
      <c r="M10" s="60"/>
      <c r="N10" s="61"/>
      <c r="O10" s="62"/>
    </row>
    <row r="11" ht="23" customHeight="1" spans="1:15">
      <c r="A11" s="87"/>
      <c r="B11" s="88"/>
      <c r="C11" s="88"/>
      <c r="D11" s="88"/>
      <c r="E11" s="88"/>
      <c r="F11" s="89"/>
      <c r="G11" s="90"/>
      <c r="H11" s="91"/>
      <c r="I11" s="92"/>
      <c r="J11" s="93"/>
      <c r="K11" s="94"/>
      <c r="L11" s="95"/>
      <c r="M11" s="60"/>
      <c r="N11" s="61"/>
      <c r="O11" s="62"/>
    </row>
    <row r="12" ht="23" customHeight="1" spans="1:15">
      <c r="A12" s="87"/>
      <c r="B12" s="88"/>
      <c r="C12" s="88"/>
      <c r="D12" s="88"/>
      <c r="E12" s="88"/>
      <c r="F12" s="89"/>
      <c r="G12" s="90"/>
      <c r="H12" s="91"/>
      <c r="I12" s="92"/>
      <c r="J12" s="93"/>
      <c r="K12" s="94"/>
      <c r="L12" s="95"/>
      <c r="M12" s="60"/>
      <c r="N12" s="61"/>
      <c r="O12" s="62"/>
    </row>
    <row r="13" customHeight="1" spans="1:15">
      <c r="A13" s="47" t="s">
        <v>40</v>
      </c>
      <c r="B13" s="47"/>
      <c r="C13" s="47"/>
      <c r="D13" s="47"/>
      <c r="E13" s="47"/>
      <c r="F13" s="47"/>
      <c r="G13" s="47"/>
      <c r="H13" s="47"/>
      <c r="I13" s="47"/>
      <c r="J13" s="47"/>
      <c r="K13" s="47"/>
      <c r="L13" s="47"/>
      <c r="M13" s="47"/>
      <c r="N13" s="47"/>
      <c r="O13" s="47"/>
    </row>
    <row r="14" customHeight="1" spans="1:15">
      <c r="A14" s="48" t="s">
        <v>1</v>
      </c>
      <c r="B14" s="48"/>
      <c r="C14" s="48"/>
      <c r="D14" s="48"/>
      <c r="E14" s="48"/>
      <c r="F14" s="48"/>
      <c r="G14" s="49" t="s">
        <v>2</v>
      </c>
      <c r="H14" s="49"/>
      <c r="I14" s="49"/>
      <c r="J14" s="49" t="s">
        <v>3</v>
      </c>
      <c r="K14" s="49"/>
      <c r="L14" s="49"/>
      <c r="M14" s="47" t="s">
        <v>4</v>
      </c>
      <c r="N14" s="47"/>
      <c r="O14" s="47"/>
    </row>
    <row r="15" customHeight="1" spans="1:15">
      <c r="A15" s="47" t="s">
        <v>41</v>
      </c>
      <c r="B15" s="47"/>
      <c r="C15" s="47"/>
      <c r="D15" s="47" t="s">
        <v>42</v>
      </c>
      <c r="E15" s="47" t="s">
        <v>43</v>
      </c>
      <c r="F15" s="47"/>
      <c r="G15" s="47" t="s">
        <v>44</v>
      </c>
      <c r="H15" s="47" t="s">
        <v>43</v>
      </c>
      <c r="I15" s="47"/>
      <c r="J15" s="47" t="s">
        <v>44</v>
      </c>
      <c r="K15" s="47" t="s">
        <v>43</v>
      </c>
      <c r="L15" s="47"/>
      <c r="M15" s="47" t="s">
        <v>44</v>
      </c>
      <c r="N15" s="47" t="s">
        <v>43</v>
      </c>
      <c r="O15" s="47"/>
    </row>
    <row r="16" customHeight="1" spans="1:15">
      <c r="A16" s="96" t="s">
        <v>45</v>
      </c>
      <c r="B16" s="97"/>
      <c r="C16" s="98"/>
      <c r="D16" s="99">
        <v>80</v>
      </c>
      <c r="E16" s="78" t="s">
        <v>46</v>
      </c>
      <c r="F16" s="78"/>
      <c r="G16" s="100">
        <v>80</v>
      </c>
      <c r="H16" s="101" t="s">
        <v>46</v>
      </c>
      <c r="I16" s="101"/>
      <c r="J16" s="102"/>
      <c r="K16" s="103" t="s">
        <v>46</v>
      </c>
      <c r="L16" s="103"/>
      <c r="M16" s="104"/>
      <c r="N16" s="105"/>
      <c r="O16" s="105"/>
    </row>
    <row r="17" ht="29" customHeight="1" spans="1:17">
      <c r="A17" s="106" t="s">
        <v>47</v>
      </c>
      <c r="B17" s="107" t="s">
        <v>48</v>
      </c>
      <c r="C17" s="108"/>
      <c r="D17" s="99">
        <v>80</v>
      </c>
      <c r="E17" s="65" t="s">
        <v>49</v>
      </c>
      <c r="F17" s="65"/>
      <c r="G17" s="100">
        <v>83</v>
      </c>
      <c r="H17" s="109" t="s">
        <v>49</v>
      </c>
      <c r="I17" s="109"/>
      <c r="J17" s="102"/>
      <c r="K17" s="110" t="s">
        <v>49</v>
      </c>
      <c r="L17" s="110"/>
      <c r="M17" s="104"/>
      <c r="N17" s="111"/>
      <c r="O17" s="111"/>
    </row>
    <row r="18" ht="29" customHeight="1" spans="1:17">
      <c r="A18" s="112"/>
      <c r="B18" s="113" t="s">
        <v>50</v>
      </c>
      <c r="C18" s="114" t="s">
        <v>51</v>
      </c>
      <c r="D18" s="99">
        <v>80</v>
      </c>
      <c r="E18" s="115" t="s">
        <v>52</v>
      </c>
      <c r="F18" s="116"/>
      <c r="G18" s="100">
        <v>80</v>
      </c>
      <c r="H18" s="100" t="s">
        <v>52</v>
      </c>
      <c r="I18" s="117"/>
      <c r="J18" s="102"/>
      <c r="K18" s="102" t="s">
        <v>52</v>
      </c>
      <c r="L18" s="118"/>
      <c r="M18" s="104"/>
      <c r="N18" s="104"/>
      <c r="O18" s="119"/>
    </row>
    <row r="19" ht="29" customHeight="1" spans="1:17">
      <c r="A19" s="112"/>
      <c r="B19" s="113"/>
      <c r="C19" s="114" t="s">
        <v>53</v>
      </c>
      <c r="D19" s="99">
        <v>80</v>
      </c>
      <c r="E19" s="115" t="s">
        <v>54</v>
      </c>
      <c r="F19" s="116"/>
      <c r="G19" s="100">
        <v>80</v>
      </c>
      <c r="H19" s="100" t="s">
        <v>54</v>
      </c>
      <c r="I19" s="117"/>
      <c r="J19" s="102"/>
      <c r="K19" s="102" t="s">
        <v>54</v>
      </c>
      <c r="L19" s="118"/>
      <c r="M19" s="104"/>
      <c r="N19" s="104"/>
      <c r="O19" s="119"/>
    </row>
    <row r="20" ht="30" customHeight="1" spans="1:17">
      <c r="A20" s="112"/>
      <c r="B20" s="120"/>
      <c r="C20" s="114" t="s">
        <v>55</v>
      </c>
      <c r="D20" s="99">
        <v>80</v>
      </c>
      <c r="E20" s="65" t="s">
        <v>56</v>
      </c>
      <c r="F20" s="65"/>
      <c r="G20" s="100">
        <v>80</v>
      </c>
      <c r="H20" s="109" t="s">
        <v>56</v>
      </c>
      <c r="I20" s="109"/>
      <c r="J20" s="102"/>
      <c r="K20" s="110" t="s">
        <v>56</v>
      </c>
      <c r="L20" s="110"/>
      <c r="M20" s="104"/>
      <c r="N20" s="111"/>
      <c r="O20" s="111"/>
    </row>
    <row r="21" ht="30" customHeight="1" spans="1:17">
      <c r="A21" s="112"/>
      <c r="B21" s="107" t="s">
        <v>57</v>
      </c>
      <c r="C21" s="108"/>
      <c r="D21" s="99">
        <v>80</v>
      </c>
      <c r="E21" s="115" t="s">
        <v>58</v>
      </c>
      <c r="F21" s="116"/>
      <c r="G21" s="100">
        <v>83</v>
      </c>
      <c r="H21" s="121" t="s">
        <v>58</v>
      </c>
      <c r="I21" s="122"/>
      <c r="J21" s="102"/>
      <c r="K21" s="123" t="s">
        <v>58</v>
      </c>
      <c r="L21" s="124"/>
      <c r="M21" s="104"/>
      <c r="N21" s="111"/>
      <c r="O21" s="111"/>
    </row>
    <row r="22" ht="30" customHeight="1" spans="1:17">
      <c r="A22" s="125"/>
      <c r="B22" s="107" t="s">
        <v>59</v>
      </c>
      <c r="C22" s="108"/>
      <c r="D22" s="99">
        <v>80</v>
      </c>
      <c r="E22" s="115" t="s">
        <v>60</v>
      </c>
      <c r="F22" s="116"/>
      <c r="G22" s="100">
        <v>86</v>
      </c>
      <c r="H22" s="121" t="s">
        <v>60</v>
      </c>
      <c r="I22" s="122"/>
      <c r="J22" s="102"/>
      <c r="K22" s="123" t="s">
        <v>60</v>
      </c>
      <c r="L22" s="124"/>
      <c r="M22" s="104"/>
      <c r="N22" s="111"/>
      <c r="O22" s="111"/>
    </row>
    <row r="23" ht="30" customHeight="1" spans="1:17">
      <c r="A23" s="63" t="s">
        <v>61</v>
      </c>
      <c r="B23" s="126" t="s">
        <v>62</v>
      </c>
      <c r="C23" s="114" t="s">
        <v>63</v>
      </c>
      <c r="D23" s="99">
        <v>80</v>
      </c>
      <c r="E23" s="115" t="s">
        <v>64</v>
      </c>
      <c r="F23" s="116"/>
      <c r="G23" s="100">
        <v>80</v>
      </c>
      <c r="H23" s="121" t="s">
        <v>65</v>
      </c>
      <c r="I23" s="122"/>
      <c r="J23" s="102"/>
      <c r="K23" s="123" t="s">
        <v>65</v>
      </c>
      <c r="L23" s="124"/>
      <c r="M23" s="104"/>
      <c r="N23" s="111"/>
      <c r="O23" s="111"/>
    </row>
    <row r="24" ht="30" customHeight="1" spans="1:17">
      <c r="A24" s="63"/>
      <c r="B24" s="127"/>
      <c r="C24" s="114" t="s">
        <v>66</v>
      </c>
      <c r="D24" s="99">
        <v>70</v>
      </c>
      <c r="E24" s="115" t="s">
        <v>67</v>
      </c>
      <c r="F24" s="116"/>
      <c r="G24" s="100">
        <v>80</v>
      </c>
      <c r="H24" s="121" t="s">
        <v>68</v>
      </c>
      <c r="I24" s="122"/>
      <c r="J24" s="102"/>
      <c r="K24" s="123" t="s">
        <v>67</v>
      </c>
      <c r="L24" s="124"/>
      <c r="M24" s="104"/>
      <c r="N24" s="111"/>
      <c r="O24" s="111"/>
    </row>
    <row r="25" ht="30" customHeight="1" spans="1:17">
      <c r="A25" s="63"/>
      <c r="B25" s="128"/>
      <c r="C25" s="114" t="s">
        <v>69</v>
      </c>
      <c r="D25" s="99">
        <v>75</v>
      </c>
      <c r="E25" s="115" t="s">
        <v>70</v>
      </c>
      <c r="F25" s="116"/>
      <c r="G25" s="100">
        <v>80</v>
      </c>
      <c r="H25" s="121" t="s">
        <v>71</v>
      </c>
      <c r="I25" s="122"/>
      <c r="J25" s="102"/>
      <c r="K25" s="123" t="s">
        <v>70</v>
      </c>
      <c r="L25" s="124"/>
      <c r="M25" s="104"/>
      <c r="N25" s="111"/>
      <c r="O25" s="111"/>
    </row>
    <row r="26" ht="30" customHeight="1" spans="1:17">
      <c r="A26" s="63" t="s">
        <v>72</v>
      </c>
      <c r="B26" s="129" t="s">
        <v>73</v>
      </c>
      <c r="C26" s="130"/>
      <c r="D26" s="99"/>
      <c r="E26" s="115" t="s">
        <v>74</v>
      </c>
      <c r="F26" s="116"/>
      <c r="G26" s="100"/>
      <c r="H26" s="121"/>
      <c r="I26" s="122"/>
      <c r="J26" s="102"/>
      <c r="K26" s="123"/>
      <c r="L26" s="124"/>
      <c r="M26" s="131"/>
      <c r="N26" s="111"/>
      <c r="O26" s="111"/>
    </row>
    <row r="27" ht="30" customHeight="1" spans="1:17">
      <c r="A27" s="63"/>
      <c r="B27" s="129" t="s">
        <v>75</v>
      </c>
      <c r="C27" s="130"/>
      <c r="D27" s="99"/>
      <c r="E27" s="115" t="s">
        <v>76</v>
      </c>
      <c r="F27" s="116"/>
      <c r="G27" s="100"/>
      <c r="H27" s="121"/>
      <c r="I27" s="122"/>
      <c r="J27" s="102"/>
      <c r="K27" s="123"/>
      <c r="L27" s="124"/>
      <c r="M27" s="132"/>
      <c r="N27" s="131"/>
      <c r="O27" s="133"/>
    </row>
    <row r="28" ht="30" customHeight="1" spans="1:17">
      <c r="A28" s="63"/>
      <c r="B28" s="129" t="s">
        <v>77</v>
      </c>
      <c r="C28" s="130"/>
      <c r="D28" s="99"/>
      <c r="E28" s="115" t="s">
        <v>78</v>
      </c>
      <c r="F28" s="116"/>
      <c r="G28" s="100"/>
      <c r="H28" s="121"/>
      <c r="I28" s="122"/>
      <c r="J28" s="102"/>
      <c r="K28" s="123"/>
      <c r="L28" s="124"/>
      <c r="M28" s="132"/>
      <c r="N28" s="131"/>
      <c r="O28" s="133"/>
    </row>
    <row r="29" ht="30" customHeight="1" spans="1:17">
      <c r="A29" s="106" t="s">
        <v>79</v>
      </c>
      <c r="B29" s="134" t="s">
        <v>80</v>
      </c>
      <c r="C29" s="134" t="s">
        <v>80</v>
      </c>
      <c r="D29" s="135" t="s">
        <v>80</v>
      </c>
      <c r="E29" s="136"/>
      <c r="F29" s="136"/>
      <c r="G29" s="100" t="s">
        <v>80</v>
      </c>
      <c r="H29" s="137"/>
      <c r="I29" s="138"/>
      <c r="J29" s="102" t="s">
        <v>80</v>
      </c>
      <c r="K29" s="139"/>
      <c r="L29" s="140"/>
      <c r="M29" s="141"/>
      <c r="N29" s="111"/>
      <c r="O29" s="111"/>
    </row>
    <row r="30" ht="49" customHeight="1" spans="1:17">
      <c r="A30" s="142" t="s">
        <v>81</v>
      </c>
      <c r="B30" s="142"/>
      <c r="C30" s="142"/>
      <c r="D30" s="143">
        <f>ROUND(((D18*0.45+D19*0.35+D20*0.25)*0.5+D21*0.3+D22*0.2)*0.5+(D23*0.5+D24*0.3+D25*0.2)*IF(OR(F4="A7-A9",F4="M1-M3"),0.2,0.5)+IF(OR(F4="A7-A9",F4="M1-M3"),(D26*0.3+D27*0.5+D28*0.2)*0.3,0),2)</f>
        <v>79</v>
      </c>
      <c r="E30" s="129" t="str">
        <f>IF(OR(D16&lt;80,D17&lt;80),"C（淘汰）",IF(F6="A1-A3",IF(AND((D18*0.45+D19*0.35+D20*0.2)&gt;=90,D16&gt;=90),"A+（录用）",IF(AND((D18*0.45+D19*0.35+D20*0.2)&gt;=85,D16&gt;=85),"A（录用）","B（录用）")),IF(F6="A4-A6",IF(AND(D30&gt;=83,D23&gt;=68,D18*0.45+D19*0.35+D20*0.2&gt;=80,D21&gt;=80,D22&gt;=70),"A+（录用）",IF(AND(D30&gt;=78,D23&gt;=68,D18*0.45+D19*0.35+D20*0.2&gt;=80,D21&gt;=80,D22&gt;=70),"A（录用）",IF(AND(D23&gt;=68,D18*0.45+D19*0.35+D20*0.2&gt;=80,D21&gt;=80,D22&gt;=70),"B（录用）","C（淘汰）"))),IF(F6="P1-P3",IF(AND(D30&gt;=87,D23&gt;=76,D18*0.45+D19*0.35+D20*0.2&gt;=80,D21&gt;=80,D22&gt;=70),"A+（录用）",IF(AND(D30&gt;=82,D23&gt;=76,D18*0.45+D19*0.35+D20*0.2&gt;=80,D21&gt;=80,D22&gt;=70),"A（录用）",IF(AND(D23&gt;=76,D18*0.45+D19*0.35+D20*0.2&gt;=80,D21&gt;=80,D22&gt;=70),"B（录用）","C（淘汰）"))),IF(F6="P4-P6",IF(AND(D30&gt;=91,D23&gt;=84,D18*0.45+D19*0.35+D20*0.2&gt;=80,D21&gt;=80,D22&gt;=70),"A+（录用）",IF(AND(D30&gt;=86,D23&gt;=84,D18*0.45+D19*0.35+D20*0.2&gt;=80,D21&gt;=80,D22&gt;=70),"A（录用）",IF(AND(D23&gt;=84,D18*0.45+D19*0.35+D20*0.2&gt;=80,D21&gt;=80,D22&gt;=70),"B（录用）","C（淘汰）"))),IF(F6="A7-A9",IF(AND(D30&gt;=88,D23&gt;=76,D18*0.45+D19*0.35+D20*0.2&gt;=80,D21&gt;=80,D22&gt;=70,D27&gt;=80),"A+（录用）",IF(AND(D30&gt;=83,D23&gt;=76,D18*0.45+D19*0.35+D20*0.2&gt;=80,D21&gt;=80,D22&gt;=70,D27&gt;=80),"A（录用）",IF(AND(D23&gt;=76,D18*0.45+D19*0.35+D20*0.2&gt;=80,D21&gt;=80,D22&gt;=70,D27&gt;=80),"B（录用）","C（淘汰）"))),IF(F6="M1-M3",IF(AND(D30&gt;=92,D23&gt;=81,D18*0.45+D19*0.35+D20*0.2&gt;=80,D21&gt;=80,D22&gt;=70,D27&gt;=90),"A+（录用）",IF(AND(D30&gt;=87,D23&gt;=81,D18*0.45+D19*0.35+D20*0.2&gt;=80,D21&gt;=80,D22&gt;=70,D27&gt;=90),"A（录用）",IF(AND(D23&gt;=81,D18*0.45+D19*0.35+D20*0.2&gt;=80,D21&gt;=80,D22&gt;=70,D27&gt;=90),"B（录用）","C（淘汰）"))),"C（淘汰）")))))))</f>
        <v>A（录用）</v>
      </c>
      <c r="F30" s="130"/>
      <c r="G30" s="144">
        <f>ROUND(((G18*0.45+G19*0.35+G20*0.25)*0.5+G21*0.3+G22*0.2)*0.5+(G23*0.5+G24*0.3+G25*0.2)*IF(OR(I4="A7-A9",I4="M1-M3"),0.2,0.5)+IF(OR(I4="A7-A9",I4="M1-M3"),(G26*0.3+G27*0.5+G28*0.2)*0.3,0),2)</f>
        <v>82.05</v>
      </c>
      <c r="H30" s="145" t="str">
        <f>IF(OR(G16&lt;80,G17&lt;80),"C（淘汰）",IF(F6="A1-A3",IF(AND((G18*0.45+G19*0.35+G20*0.2)&gt;=90,G16&gt;=90),"A+（录用）",IF(AND((G18*0.45+G19*0.35+G20*0.2)&gt;=85,G16&gt;=85),"A（录用）","B（录用）")),IF(F6="A4-A6",IF(AND(G30&gt;=83,G23&gt;=68,G18*0.45+G19*0.35+G20*0.2&gt;=80,G21&gt;=80,G22&gt;=70),"A+（录用）",IF(AND(G30&gt;=78,G23&gt;=68,G18*0.45+G19*0.35+G20*0.2&gt;=80,G21&gt;=80,G22&gt;=70),"A（录用）",IF(AND(G23&gt;=68,G18*0.45+G19*0.35+G20*0.2&gt;=80,G21&gt;=80,G22&gt;=70),"B（录用）","C（淘汰）"))),IF(F6="P1-P3",IF(AND(G30&gt;=87,G23&gt;=76,G18*0.45+G19*0.35+G20*0.2&gt;=80,G21&gt;=80,G22&gt;=70),"A+（录用）",IF(AND(G30&gt;=82,G23&gt;=76,G18*0.45+G19*0.35+G20*0.2&gt;=80,G21&gt;=80,G22&gt;=70),"A（录用）",IF(AND(G23&gt;=76,G18*0.45+G19*0.35+G20*0.2&gt;=80,G21&gt;=80,G22&gt;=70),"B（录用）","C（淘汰）"))),IF(F6="P4-P6",IF(AND(G30&gt;=91,G23&gt;=84,G18*0.45+G19*0.35+G20*0.2&gt;=80,G21&gt;=80,G22&gt;=70),"A+（录用）",IF(AND(G30&gt;=86,G23&gt;=84,G18*0.45+G19*0.35+G20*0.2&gt;=80,G21&gt;=80,G22&gt;=70),"A（录用）",IF(AND(G23&gt;=84,G18*0.45+G19*0.35+G20*0.2&gt;=80,G21&gt;=80,G22&gt;=70),"B（录用）","C（淘汰）"))),IF(F6="A7-A9",IF(AND(G30&gt;=88,G23&gt;=76,G18*0.45+G19*0.35+G20*0.2&gt;=80,G21&gt;=80,G22&gt;=70,G27&gt;=80),"A+（录用）",IF(AND(G30&gt;=83,G23&gt;=76,G18*0.45+G19*0.35+G20*0.2&gt;=80,G21&gt;=80,G22&gt;=70,G27&gt;=80),"A（录用）",IF(AND(G23&gt;=76,G18*0.45+G19*0.35+G20*0.2&gt;=80,G21&gt;=80,G22&gt;=70,G27&gt;=80),"B（录用）","C（淘汰）"))),IF(F6="M1-M3",IF(AND(G30&gt;=92,G23&gt;=81,G18*0.45+G19*0.35+G20*0.2&gt;=80,G21&gt;=80,G22&gt;=70,G27&gt;=90),"A+（录用）",IF(AND(G30&gt;=87,G23&gt;=81,G18*0.45+G19*0.35+G20*0.2&gt;=80,G21&gt;=80,G22&gt;=70,G27&gt;=90),"A（录用）",IF(AND(G23&gt;=81,G18*0.45+G19*0.35+G20*0.2&gt;=80,G21&gt;=80,G22&gt;=70,G27&gt;=90),"B（录用）","C（淘汰）"))),"C（淘汰）")))))))</f>
        <v>A（录用）</v>
      </c>
      <c r="I30" s="146"/>
      <c r="J30" s="102"/>
      <c r="K30" s="147"/>
      <c r="L30" s="148"/>
      <c r="M30" s="149"/>
      <c r="N30" s="150"/>
      <c r="O30" s="151"/>
    </row>
    <row r="31" s="46" customFormat="1" customHeight="1" spans="1:17">
      <c r="A31" s="152" t="s">
        <v>82</v>
      </c>
      <c r="B31" s="153"/>
      <c r="C31" s="153"/>
      <c r="D31" s="153"/>
      <c r="E31" s="153"/>
      <c r="F31" s="153"/>
      <c r="G31" s="153"/>
      <c r="H31" s="153"/>
      <c r="I31" s="153"/>
      <c r="J31" s="153"/>
      <c r="K31" s="153"/>
      <c r="L31" s="153"/>
      <c r="M31" s="153"/>
      <c r="N31" s="153"/>
      <c r="O31" s="154"/>
      <c r="Q31" s="155"/>
    </row>
    <row r="32" s="46" customFormat="1" customHeight="1" spans="1:17">
      <c r="A32" s="156" t="s">
        <v>1</v>
      </c>
      <c r="B32" s="156"/>
      <c r="C32" s="156"/>
      <c r="D32" s="156"/>
      <c r="E32" s="156"/>
      <c r="F32" s="156"/>
      <c r="G32" s="157" t="s">
        <v>2</v>
      </c>
      <c r="H32" s="157"/>
      <c r="I32" s="157"/>
      <c r="J32" s="157" t="s">
        <v>3</v>
      </c>
      <c r="K32" s="157"/>
      <c r="L32" s="157"/>
      <c r="M32" s="158" t="s">
        <v>4</v>
      </c>
      <c r="N32" s="158"/>
      <c r="O32" s="158"/>
    </row>
    <row r="33" s="46" customFormat="1" ht="23" customHeight="1" spans="1:17">
      <c r="A33" s="159" t="s">
        <v>83</v>
      </c>
      <c r="B33" s="159"/>
      <c r="C33" s="159"/>
      <c r="D33" s="159"/>
      <c r="E33" s="159"/>
      <c r="F33" s="159"/>
      <c r="G33" s="160"/>
      <c r="H33" s="160"/>
      <c r="I33" s="160"/>
      <c r="J33" s="160"/>
      <c r="K33" s="160"/>
      <c r="L33" s="160"/>
      <c r="M33" s="132"/>
      <c r="N33" s="132"/>
      <c r="O33" s="132"/>
    </row>
    <row r="34" s="46" customFormat="1" ht="23" customHeight="1" spans="1:17">
      <c r="A34" s="159" t="s">
        <v>84</v>
      </c>
      <c r="B34" s="159"/>
      <c r="C34" s="159"/>
      <c r="D34" s="159"/>
      <c r="E34" s="159"/>
      <c r="F34" s="159"/>
      <c r="G34" s="161"/>
      <c r="H34" s="161"/>
      <c r="I34" s="161"/>
      <c r="J34" s="161"/>
      <c r="K34" s="161"/>
      <c r="L34" s="161"/>
      <c r="M34" s="132"/>
      <c r="N34" s="132"/>
      <c r="O34" s="132"/>
    </row>
    <row r="35" s="46" customFormat="1" ht="23" customHeight="1" spans="1:17">
      <c r="A35" s="159" t="s">
        <v>85</v>
      </c>
      <c r="B35" s="159"/>
      <c r="C35" s="159"/>
      <c r="D35" s="159"/>
      <c r="E35" s="159"/>
      <c r="F35" s="159"/>
      <c r="G35" s="161"/>
      <c r="H35" s="161"/>
      <c r="I35" s="161"/>
      <c r="J35" s="160"/>
      <c r="K35" s="160"/>
      <c r="L35" s="160"/>
      <c r="M35" s="132"/>
      <c r="N35" s="132"/>
      <c r="O35" s="132"/>
    </row>
    <row r="36" s="46" customFormat="1" ht="23" customHeight="1" spans="1:17">
      <c r="A36" s="159" t="s">
        <v>86</v>
      </c>
      <c r="B36" s="159"/>
      <c r="C36" s="159" t="s">
        <v>80</v>
      </c>
      <c r="D36" s="159"/>
      <c r="E36" s="159"/>
      <c r="F36" s="159"/>
      <c r="G36" s="161"/>
      <c r="H36" s="161"/>
      <c r="I36" s="161"/>
      <c r="J36" s="160"/>
      <c r="K36" s="160"/>
      <c r="L36" s="160"/>
      <c r="M36" s="132"/>
      <c r="N36" s="132"/>
      <c r="O36" s="132"/>
      <c r="Q36" s="46">
        <v>3</v>
      </c>
    </row>
    <row r="37" s="46" customFormat="1" customHeight="1" spans="1:17">
      <c r="A37" s="162" t="s">
        <v>87</v>
      </c>
      <c r="B37" s="162"/>
      <c r="C37" s="162"/>
      <c r="D37" s="162"/>
      <c r="E37" s="162"/>
      <c r="F37" s="162"/>
      <c r="G37" s="162"/>
      <c r="H37" s="162"/>
      <c r="I37" s="162"/>
      <c r="J37" s="162"/>
      <c r="K37" s="162"/>
      <c r="L37" s="162"/>
      <c r="M37" s="162"/>
      <c r="N37" s="162"/>
      <c r="O37" s="162"/>
    </row>
    <row r="38" s="46" customFormat="1" ht="23" customHeight="1" spans="1:17">
      <c r="A38" s="63" t="s">
        <v>88</v>
      </c>
      <c r="B38" s="63"/>
      <c r="C38" s="63"/>
      <c r="D38" s="63" t="s">
        <v>89</v>
      </c>
      <c r="E38" s="63"/>
      <c r="F38" s="63"/>
      <c r="G38" s="63"/>
      <c r="H38" s="63"/>
      <c r="I38" s="63"/>
      <c r="J38" s="63"/>
      <c r="K38" s="63"/>
      <c r="L38" s="63"/>
      <c r="M38" s="63"/>
      <c r="N38" s="63"/>
      <c r="O38" s="63"/>
    </row>
    <row r="39" s="46" customFormat="1" ht="23" customHeight="1" spans="1:17">
      <c r="A39" s="63"/>
      <c r="B39" s="63"/>
      <c r="C39" s="63"/>
      <c r="D39" s="63" t="s">
        <v>90</v>
      </c>
      <c r="E39" s="63"/>
      <c r="F39" s="63"/>
      <c r="G39" s="79"/>
      <c r="H39" s="79"/>
      <c r="I39" s="79"/>
      <c r="J39" s="53" t="s">
        <v>91</v>
      </c>
      <c r="K39" s="53"/>
      <c r="L39" s="53"/>
      <c r="M39" s="53" t="s">
        <v>92</v>
      </c>
      <c r="N39" s="53"/>
      <c r="O39" s="53"/>
    </row>
    <row r="40" customHeight="1" spans="1:17">
      <c r="A40" s="163" t="s">
        <v>93</v>
      </c>
      <c r="B40" s="163"/>
    </row>
    <row r="41" customHeight="1" spans="1:17">
      <c r="A41" s="163" t="s">
        <v>94</v>
      </c>
      <c r="B41" s="163"/>
    </row>
    <row r="42" customHeight="1" spans="1:17">
      <c r="A42" s="163" t="s">
        <v>95</v>
      </c>
      <c r="B42" s="163"/>
    </row>
    <row r="43" customHeight="1" spans="1:17">
      <c r="A43" s="163" t="s">
        <v>96</v>
      </c>
      <c r="B43" s="163"/>
    </row>
    <row r="44" customHeight="1" spans="1:17">
      <c r="A44" s="163" t="s">
        <v>97</v>
      </c>
      <c r="B44" s="163"/>
    </row>
    <row r="45" customHeight="1" spans="1:17">
      <c r="A45" s="163" t="s">
        <v>98</v>
      </c>
      <c r="B45" s="163"/>
    </row>
  </sheetData>
  <sheetProtection selectLockedCells="1" selectUnlockedCells="1"/>
  <mergeCells count="144">
    <mergeCell ref="A1:O1"/>
    <mergeCell ref="A2:F2"/>
    <mergeCell ref="G2:I2"/>
    <mergeCell ref="J2:L2"/>
    <mergeCell ref="M2:O2"/>
    <mergeCell ref="G3:I3"/>
    <mergeCell ref="J3:L3"/>
    <mergeCell ref="M3:O3"/>
    <mergeCell ref="G4:I4"/>
    <mergeCell ref="J4:L4"/>
    <mergeCell ref="M4:O4"/>
    <mergeCell ref="G5:I5"/>
    <mergeCell ref="J5:L5"/>
    <mergeCell ref="M5:O5"/>
    <mergeCell ref="G6:I6"/>
    <mergeCell ref="J6:L6"/>
    <mergeCell ref="M6:O6"/>
    <mergeCell ref="G7:I7"/>
    <mergeCell ref="J7:L7"/>
    <mergeCell ref="M7:O7"/>
    <mergeCell ref="A8:O8"/>
    <mergeCell ref="A9:F9"/>
    <mergeCell ref="G9:I9"/>
    <mergeCell ref="J9:L9"/>
    <mergeCell ref="M9:O9"/>
    <mergeCell ref="A10:F10"/>
    <mergeCell ref="G10:I10"/>
    <mergeCell ref="J10:L10"/>
    <mergeCell ref="M10:O10"/>
    <mergeCell ref="A11:F11"/>
    <mergeCell ref="G11:I11"/>
    <mergeCell ref="J11:L11"/>
    <mergeCell ref="M11:O11"/>
    <mergeCell ref="A12:F12"/>
    <mergeCell ref="G12:I12"/>
    <mergeCell ref="J12:L12"/>
    <mergeCell ref="M12:O12"/>
    <mergeCell ref="A13:O13"/>
    <mergeCell ref="A14:F14"/>
    <mergeCell ref="G14:I14"/>
    <mergeCell ref="J14:L14"/>
    <mergeCell ref="M14:O14"/>
    <mergeCell ref="A15:O15"/>
    <mergeCell ref="E16:F16"/>
    <mergeCell ref="H16:I16"/>
    <mergeCell ref="K16:L16"/>
    <mergeCell ref="N16:O16"/>
    <mergeCell ref="E17:F17"/>
    <mergeCell ref="H17:I17"/>
    <mergeCell ref="K17:L17"/>
    <mergeCell ref="N17:O17"/>
    <mergeCell ref="E18:F18"/>
    <mergeCell ref="H18:I18"/>
    <mergeCell ref="K18:L18"/>
    <mergeCell ref="N18:O18"/>
    <mergeCell ref="E19:F19"/>
    <mergeCell ref="H19:I19"/>
    <mergeCell ref="K19:L19"/>
    <mergeCell ref="N19:O19"/>
    <mergeCell ref="E20:F20"/>
    <mergeCell ref="H20:I20"/>
    <mergeCell ref="K20:L20"/>
    <mergeCell ref="N20:O20"/>
    <mergeCell ref="E21:F21"/>
    <mergeCell ref="H21:I21"/>
    <mergeCell ref="K21:L21"/>
    <mergeCell ref="N21:O21"/>
    <mergeCell ref="E22:F22"/>
    <mergeCell ref="H22:I22"/>
    <mergeCell ref="K22:L22"/>
    <mergeCell ref="N22:O22"/>
    <mergeCell ref="E23:F23"/>
    <mergeCell ref="H23:I23"/>
    <mergeCell ref="K23:L23"/>
    <mergeCell ref="N23:O23"/>
    <mergeCell ref="E24:F24"/>
    <mergeCell ref="H24:I24"/>
    <mergeCell ref="K24:L24"/>
    <mergeCell ref="N24:O24"/>
    <mergeCell ref="E25:F25"/>
    <mergeCell ref="H25:I25"/>
    <mergeCell ref="K25:L25"/>
    <mergeCell ref="N25:O25"/>
    <mergeCell ref="B26:C26"/>
    <mergeCell ref="E26:F26"/>
    <mergeCell ref="H26:I26"/>
    <mergeCell ref="K26:L26"/>
    <mergeCell ref="N26:O26"/>
    <mergeCell ref="B27:C27"/>
    <mergeCell ref="E27:F27"/>
    <mergeCell ref="H27:I27"/>
    <mergeCell ref="K27:L27"/>
    <mergeCell ref="N27:O27"/>
    <mergeCell ref="B28:C28"/>
    <mergeCell ref="E28:F28"/>
    <mergeCell ref="H28:I28"/>
    <mergeCell ref="K28:L28"/>
    <mergeCell ref="N28:O28"/>
    <mergeCell ref="E29:F29"/>
    <mergeCell ref="H29:I29"/>
    <mergeCell ref="K29:L29"/>
    <mergeCell ref="N29:O29"/>
    <mergeCell ref="A30:C30"/>
    <mergeCell ref="E30:F30"/>
    <mergeCell ref="H30:I30"/>
    <mergeCell ref="K30:L30"/>
    <mergeCell ref="N30:O30"/>
    <mergeCell ref="A31:O31"/>
    <mergeCell ref="A32:F32"/>
    <mergeCell ref="G32:I32"/>
    <mergeCell ref="J32:L32"/>
    <mergeCell ref="M32:O32"/>
    <mergeCell ref="A33:B33"/>
    <mergeCell ref="C33:F33"/>
    <mergeCell ref="G33:I33"/>
    <mergeCell ref="J33:L33"/>
    <mergeCell ref="M33:O33"/>
    <mergeCell ref="A34:B34"/>
    <mergeCell ref="C34:F34"/>
    <mergeCell ref="G34:I34"/>
    <mergeCell ref="J34:L34"/>
    <mergeCell ref="M34:O34"/>
    <mergeCell ref="A35:B35"/>
    <mergeCell ref="C35:F35"/>
    <mergeCell ref="G35:I35"/>
    <mergeCell ref="J35:L35"/>
    <mergeCell ref="M35:O35"/>
    <mergeCell ref="A36:B36"/>
    <mergeCell ref="C36:F36"/>
    <mergeCell ref="G36:I36"/>
    <mergeCell ref="J36:L36"/>
    <mergeCell ref="M36:O36"/>
    <mergeCell ref="A37:O37"/>
    <mergeCell ref="E38:O38"/>
    <mergeCell ref="E39:F39"/>
    <mergeCell ref="G39:I39"/>
    <mergeCell ref="J39:L39"/>
    <mergeCell ref="M39:O39"/>
    <mergeCell ref="A17:A22"/>
    <mergeCell ref="A23:A25"/>
    <mergeCell ref="A26:A28"/>
    <mergeCell ref="B18:B20"/>
    <mergeCell ref="B23:B25"/>
    <mergeCell ref="A38:B39"/>
  </mergeCells>
  <dataValidations count="17">
    <dataValidation type="list" allowBlank="1" showInputMessage="1" showErrorMessage="1" sqref="F4">
      <formula1>"打不过的竞争对手,衰弱数据库公司,数据库运维服务商,数据库代理商,xPU,云厂商,基础软件厂商,计算厂商,存储厂商,安全厂商,数通厂商,SI,行业 ISV,区域地头蛇,其他"</formula1>
    </dataValidation>
    <dataValidation type="list" allowBlank="1" showInputMessage="1" showErrorMessage="1" sqref="F6">
      <formula1>"A1-A3,A4-A6,P1-P3,P4-P6,A7-A9,M1-M3"</formula1>
    </dataValidation>
    <dataValidation type="list" allowBlank="1" showInputMessage="1" showErrorMessage="1" sqref="E16:F16 H16:I16 K16:L16 N16:O16">
      <formula1>"90–100：主动拥抱 AI，精通工具，高效挖掘线索、智能复盘、优化话术，显著提升转化率与人效；持续学习前沿应用，带动团队，引领 AI 驱动销售文化,80-89：认可 AI 价值，熟练使用核心工具辅助业务，效率提升明显，关注新应用并主动分享,0：被动使用 AI，掌握基础功能，能完成简单任务，效率提升有限，学习主动性弱，分享少,0：尝试使用 AI 但效果差，偶有抵触，学习意愿低，未带来实际效益,0：拒绝使用 AI，固守旧法，效率低下，抵制学习，阻碍团队数字化"</formula1>
    </dataValidation>
    <dataValidation type="list" allowBlank="1" showInputMessage="1" showErrorMessage="1" sqref="E17:F17 H17:I17 K17:L17 N17:O17">
      <formula1>"90–100：热爱服务与交付，以客户成功为成就，主动解决问题、扛事、优化。,80–89：认可服务价值，责任心强，主动跟进，耐心抗压。,0分：不排斥服务，能按流程完成，耐心尚可。,0分：兴趣一般，被动响应，易烦躁。,0分：讨厌服务、怕客户、怕麻烦，推诿敷衍。"</formula1>
    </dataValidation>
    <dataValidation type="list" allowBlank="1" showInputMessage="1" showErrorMessage="1" sqref="E18:F18 H18:I18 K18:L18 N18:O18">
      <formula1>"100：数理竞赛 国奖 / 省一,90：高考数学 ≥ 135,80：高考数学≥211平均分,0：高考数学＜211平均分"</formula1>
    </dataValidation>
    <dataValidation type="list" allowBlank="1" showInputMessage="1" showErrorMessage="1" sqref="E19:F19 H19:I19 K19:L19 N19:O19">
      <formula1>"100：中档985,95：211专业对口和低档985,90：211对口以外的,85：双一流专业对口,80：普通本科专业对口,0：低于普通本科对口"</formula1>
    </dataValidation>
    <dataValidation type="list" allowBlank="1" showInputMessage="1" showErrorMessage="1" sqref="E20:F20 H20:I20 K20:L20 N20:O20">
      <formula1>"100：一眼穿透本质，复杂→极简,90：结构化梳理，剔除冗余,80：能讲清楚，但不够精炼,0：重点模糊，表达偏散,0：越讲越复杂，无结构"</formula1>
    </dataValidation>
    <dataValidation type="list" allowBlank="1" showInputMessage="1" showErrorMessage="1" sqref="E21:F21 H21:I21 K21:L21 N21:O21">
      <formula1>"90–100：问题不解决不离场，紧急故障主动扛，再苦再累也要交付成功。,80–89：以客户成功为底线，敢担责、不甩锅，问题闭环到底。,0：能按要求完成交付，有基本责任心。,0：怕麻烦怕加班，被动应付，主动性弱。,0：怕担责、敷衍推诿、情绪优先。"</formula1>
    </dataValidation>
    <dataValidation type="list" allowBlank="1" showInputMessage="1" showErrorMessage="1" sqref="E22:F22 H22:I22 K22:L22 N22:O22">
      <formula1>"90–100：极度耐心稳定，先安抚再解决，扛压扛委屈，能化解冲突、建立信任,80–89：情绪稳定，会安抚客户，冲突理性处理。,70–79：基本耐心，职业规范内沟通正常。,0：耐心不足，易烦躁，态度易受影响。,0：情绪易爆，怼客户、甩脸色，破坏口碑。"</formula1>
    </dataValidation>
    <dataValidation type="list" allowBlank="1" showInputMessage="1" showErrorMessage="1" sqref="E23:F23 H23:I23 K23:L23 N23:O23">
      <formula1>"95-100分：硬能力认证 5级
,90-95分：硬能力认证 4级
,80-90分：硬能力认证 3级,
70-80分：硬能力认证2级,60-70分：硬能力认证1级
,&lt;60分：不合格，淘汰"</formula1>
    </dataValidation>
    <dataValidation type="list" allowBlank="1" showInputMessage="1" showErrorMessage="1" sqref="E24:F24 H24:I24 K24:L24 N24:O24">
      <formula1>"95-100分：软能力认证 5级
,90-95分：软能力认证 4级
,80-90分：软能力认证 3级,
70-80分：软能力认证2级,60-70分：软能力认证1级
,&lt;60分：不合格，淘汰"</formula1>
    </dataValidation>
    <dataValidation type="list" allowBlank="1" showInputMessage="1" showErrorMessage="1" sqref="E25:F25 H25:I25 K25:L25 N25:O25">
      <formula1>"80-100：非常积极,60-80：积极,0：不积极"</formula1>
    </dataValidation>
    <dataValidation type="list" allowBlank="1" showInputMessage="1" showErrorMessage="1" sqref="E26:F26 H26:I26 K26:L26 N26:O26">
      <formula1>"90-100：精准拆解战略目标，路径清晰、节点明确、资源匹配合理；预见性识别关键风险并提前布局；团队对目标和节奏高度认同，执行顺畅无偏差。,80-89：能制定清晰计划，目标拆解合理，关键节点明确；主要风险有预案，执行基本顺畅，偶需微调。,70-79：计划基本可行，但细节不够完善或资源考虑不周；风险识别不全，执行中需多次调整方向。,60-69：计划粗糙，拆解不清，路径模糊；风险频发且应对被动，执行混乱，多次返工或延期。,&lt;60：无计划或计划完全不可行，项目推进失控，频繁失败。"</formula1>
    </dataValidation>
    <dataValidation type="list" allowBlank="1" showInputMessage="1" showErrorMessage="1" sqref="E27:F27 H27:I27 K27:L27 N27:O27">
      <formula1>"90-100：慧眼识人，精准识别高潜，敢于任用能力强于自己的人；人岗匹配、用人所长，骨干梯队健康、不断涌现。,80-89：能识别优秀人才，任用基本合理；骨干队伍稳定，能支撑业务，偶有偏差能及时调整。,70-79：识人眼光一般，任用存在错配，但骨干队伍基本稳定。,60-69：识人眼光差，频繁用错人；骨干流失严重或长期空缺，影响团队战斗力。,&lt;60：嫉贤妒能，压制人才；团队投诉多；团队无骨干或骨干全是庸才，团队溃散。"</formula1>
    </dataValidation>
    <dataValidation type="list" allowBlank="1" showInputMessage="1" showErrorMessage="1" sqref="E28:F28 H28:I28 K28:L28 N28:O28">
      <formula1>"90-100：人效显著高于同规模团队；持续优化流程、工具和方法，激发团队潜能；人才培养体系完善，新人上手快、老人持续成长。,90-100：人效显著高于同规模团队；持续优化流程、工具和方法，激发团队潜能；人才培养体系完善，新人上手快、老人持续成长。,70-79：勉强完成目标；流程工具基本到位但缺乏主动优化；人才培养偶有亮点但不系统。,60-69：经常加班却产出不佳；流程混乱，工具落后，士气低落；忽视人才培养，新人成长慢。,&lt;60：产出无法支撑业务，流程僵化或缺失，士气崩坏；无人可用，成为业务瓶颈。"</formula1>
    </dataValidation>
    <dataValidation type="list" allowBlank="1" showInputMessage="1" showErrorMessage="1" sqref="H29:I29 K29:L29 N29">
      <formula1>"90-100分：精通产品行业，能独立做方案、辅导招投标,80-89分：熟产品懂行业，可独立撰写定制化解决方案,70-79分：掌握基础专业知识，能独立解答客户常规咨询,60-69分：专业基础薄弱，需辅助完成客户对接讲解,＜60分：专业知识匮乏，无法独立对接客户、讲解产品"</formula1>
    </dataValidation>
    <dataValidation allowBlank="1" showInputMessage="1" showErrorMessage="1" sqref="M10:M12"/>
  </dataValidations>
  <pageMargins left="0.7" right="0.7" top="0.75" bottom="0.75" header="0.3" footer="0.3"/>
  <headerFooter/>
  <ignoredErrors>
    <ignoredError sqref="B42:XFD42 $A31:$XFD32 M33:XFD34 B35:B36 G35:XFD35 D36:XFD36 $A37:$XFD41 P30:XFD30 N29:XFD29 K29:L29 H29:I29 A30:C30 A16:C28 E26:F28 A29:F29 F18:F25 E16:F17 $A13:$XFD15 P10:XFD12 G9:XFD9 A3:A7 C3:C7 E7 G5:XFD7 $A8:$XFD8 P4:XFD4 $A1:$XFD2 G3:XFD3 P16:XFD23" listDataValidation="1"/>
  </ignoredErrors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6431" name="Check Box 287" r:id="rId3">
              <controlPr defaultSize="0">
                <anchor moveWithCells="1">
                  <from>
                    <xdr:col>6</xdr:col>
                    <xdr:colOff>457200</xdr:colOff>
                    <xdr:row>8</xdr:row>
                    <xdr:rowOff>304800</xdr:rowOff>
                  </from>
                  <to>
                    <xdr:col>7</xdr:col>
                    <xdr:colOff>139700</xdr:colOff>
                    <xdr:row>10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432" name="Check Box 288" r:id="rId4">
              <controlPr defaultSize="0">
                <anchor moveWithCells="1">
                  <from>
                    <xdr:col>7</xdr:col>
                    <xdr:colOff>177800</xdr:colOff>
                    <xdr:row>9</xdr:row>
                    <xdr:rowOff>0</xdr:rowOff>
                  </from>
                  <to>
                    <xdr:col>7</xdr:col>
                    <xdr:colOff>914400</xdr:colOff>
                    <xdr:row>10</xdr:row>
                    <xdr:rowOff>165100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433" name="Check Box 289" r:id="rId5">
              <controlPr defaultSize="0">
                <anchor moveWithCells="1">
                  <from>
                    <xdr:col>8</xdr:col>
                    <xdr:colOff>63500</xdr:colOff>
                    <xdr:row>9</xdr:row>
                    <xdr:rowOff>0</xdr:rowOff>
                  </from>
                  <to>
                    <xdr:col>8</xdr:col>
                    <xdr:colOff>812800</xdr:colOff>
                    <xdr:row>10</xdr:row>
                    <xdr:rowOff>165100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437" name="Check Box 293" r:id="rId6">
              <controlPr defaultSize="0">
                <anchor moveWithCells="1">
                  <from>
                    <xdr:col>6</xdr:col>
                    <xdr:colOff>457200</xdr:colOff>
                    <xdr:row>9</xdr:row>
                    <xdr:rowOff>304800</xdr:rowOff>
                  </from>
                  <to>
                    <xdr:col>7</xdr:col>
                    <xdr:colOff>139700</xdr:colOff>
                    <xdr:row>11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438" name="Check Box 294" r:id="rId7">
              <controlPr defaultSize="0">
                <anchor moveWithCells="1">
                  <from>
                    <xdr:col>7</xdr:col>
                    <xdr:colOff>177800</xdr:colOff>
                    <xdr:row>10</xdr:row>
                    <xdr:rowOff>0</xdr:rowOff>
                  </from>
                  <to>
                    <xdr:col>7</xdr:col>
                    <xdr:colOff>914400</xdr:colOff>
                    <xdr:row>11</xdr:row>
                    <xdr:rowOff>165100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439" name="Check Box 295" r:id="rId8">
              <controlPr defaultSize="0">
                <anchor moveWithCells="1">
                  <from>
                    <xdr:col>8</xdr:col>
                    <xdr:colOff>63500</xdr:colOff>
                    <xdr:row>10</xdr:row>
                    <xdr:rowOff>0</xdr:rowOff>
                  </from>
                  <to>
                    <xdr:col>8</xdr:col>
                    <xdr:colOff>812800</xdr:colOff>
                    <xdr:row>11</xdr:row>
                    <xdr:rowOff>165100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440" name="Check Box 296" r:id="rId9">
              <controlPr defaultSize="0">
                <anchor moveWithCells="1">
                  <from>
                    <xdr:col>6</xdr:col>
                    <xdr:colOff>457200</xdr:colOff>
                    <xdr:row>10</xdr:row>
                    <xdr:rowOff>304800</xdr:rowOff>
                  </from>
                  <to>
                    <xdr:col>7</xdr:col>
                    <xdr:colOff>139700</xdr:colOff>
                    <xdr:row>12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441" name="Check Box 297" r:id="rId10">
              <controlPr defaultSize="0">
                <anchor moveWithCells="1">
                  <from>
                    <xdr:col>7</xdr:col>
                    <xdr:colOff>177800</xdr:colOff>
                    <xdr:row>11</xdr:row>
                    <xdr:rowOff>0</xdr:rowOff>
                  </from>
                  <to>
                    <xdr:col>7</xdr:col>
                    <xdr:colOff>914400</xdr:colOff>
                    <xdr:row>12</xdr:row>
                    <xdr:rowOff>165100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442" name="Check Box 298" r:id="rId11">
              <controlPr defaultSize="0">
                <anchor moveWithCells="1">
                  <from>
                    <xdr:col>8</xdr:col>
                    <xdr:colOff>63500</xdr:colOff>
                    <xdr:row>11</xdr:row>
                    <xdr:rowOff>0</xdr:rowOff>
                  </from>
                  <to>
                    <xdr:col>8</xdr:col>
                    <xdr:colOff>812800</xdr:colOff>
                    <xdr:row>12</xdr:row>
                    <xdr:rowOff>165100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443" name="Check Box 299" r:id="rId12">
              <controlPr defaultSize="0">
                <anchor moveWithCells="1">
                  <from>
                    <xdr:col>9</xdr:col>
                    <xdr:colOff>457200</xdr:colOff>
                    <xdr:row>8</xdr:row>
                    <xdr:rowOff>304800</xdr:rowOff>
                  </from>
                  <to>
                    <xdr:col>10</xdr:col>
                    <xdr:colOff>38100</xdr:colOff>
                    <xdr:row>10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444" name="Check Box 300" r:id="rId13">
              <controlPr defaultSize="0">
                <anchor moveWithCells="1">
                  <from>
                    <xdr:col>10</xdr:col>
                    <xdr:colOff>177800</xdr:colOff>
                    <xdr:row>9</xdr:row>
                    <xdr:rowOff>0</xdr:rowOff>
                  </from>
                  <to>
                    <xdr:col>10</xdr:col>
                    <xdr:colOff>914400</xdr:colOff>
                    <xdr:row>10</xdr:row>
                    <xdr:rowOff>165100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445" name="Check Box 301" r:id="rId14">
              <controlPr defaultSize="0">
                <anchor moveWithCells="1">
                  <from>
                    <xdr:col>11</xdr:col>
                    <xdr:colOff>63500</xdr:colOff>
                    <xdr:row>9</xdr:row>
                    <xdr:rowOff>0</xdr:rowOff>
                  </from>
                  <to>
                    <xdr:col>11</xdr:col>
                    <xdr:colOff>812800</xdr:colOff>
                    <xdr:row>10</xdr:row>
                    <xdr:rowOff>165100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446" name="Check Box 302" r:id="rId15">
              <controlPr defaultSize="0">
                <anchor moveWithCells="1">
                  <from>
                    <xdr:col>9</xdr:col>
                    <xdr:colOff>457200</xdr:colOff>
                    <xdr:row>9</xdr:row>
                    <xdr:rowOff>304800</xdr:rowOff>
                  </from>
                  <to>
                    <xdr:col>10</xdr:col>
                    <xdr:colOff>38100</xdr:colOff>
                    <xdr:row>11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447" name="Check Box 303" r:id="rId16">
              <controlPr defaultSize="0">
                <anchor moveWithCells="1">
                  <from>
                    <xdr:col>10</xdr:col>
                    <xdr:colOff>177800</xdr:colOff>
                    <xdr:row>10</xdr:row>
                    <xdr:rowOff>0</xdr:rowOff>
                  </from>
                  <to>
                    <xdr:col>10</xdr:col>
                    <xdr:colOff>914400</xdr:colOff>
                    <xdr:row>11</xdr:row>
                    <xdr:rowOff>165100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448" name="Check Box 304" r:id="rId17">
              <controlPr defaultSize="0">
                <anchor moveWithCells="1">
                  <from>
                    <xdr:col>11</xdr:col>
                    <xdr:colOff>63500</xdr:colOff>
                    <xdr:row>10</xdr:row>
                    <xdr:rowOff>0</xdr:rowOff>
                  </from>
                  <to>
                    <xdr:col>11</xdr:col>
                    <xdr:colOff>812800</xdr:colOff>
                    <xdr:row>11</xdr:row>
                    <xdr:rowOff>165100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449" name="Check Box 305" r:id="rId18">
              <controlPr defaultSize="0">
                <anchor moveWithCells="1">
                  <from>
                    <xdr:col>9</xdr:col>
                    <xdr:colOff>457200</xdr:colOff>
                    <xdr:row>10</xdr:row>
                    <xdr:rowOff>304800</xdr:rowOff>
                  </from>
                  <to>
                    <xdr:col>10</xdr:col>
                    <xdr:colOff>38100</xdr:colOff>
                    <xdr:row>12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450" name="Check Box 306" r:id="rId19">
              <controlPr defaultSize="0">
                <anchor moveWithCells="1">
                  <from>
                    <xdr:col>10</xdr:col>
                    <xdr:colOff>177800</xdr:colOff>
                    <xdr:row>11</xdr:row>
                    <xdr:rowOff>0</xdr:rowOff>
                  </from>
                  <to>
                    <xdr:col>10</xdr:col>
                    <xdr:colOff>914400</xdr:colOff>
                    <xdr:row>12</xdr:row>
                    <xdr:rowOff>165100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451" name="Check Box 307" r:id="rId20">
              <controlPr defaultSize="0">
                <anchor moveWithCells="1">
                  <from>
                    <xdr:col>11</xdr:col>
                    <xdr:colOff>63500</xdr:colOff>
                    <xdr:row>11</xdr:row>
                    <xdr:rowOff>0</xdr:rowOff>
                  </from>
                  <to>
                    <xdr:col>11</xdr:col>
                    <xdr:colOff>812800</xdr:colOff>
                    <xdr:row>12</xdr:row>
                    <xdr:rowOff>165100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455" name="Check Box 311" r:id="rId21">
              <controlPr defaultSize="0">
                <anchor moveWithCells="1">
                  <from>
                    <xdr:col>12</xdr:col>
                    <xdr:colOff>1066800</xdr:colOff>
                    <xdr:row>9</xdr:row>
                    <xdr:rowOff>0</xdr:rowOff>
                  </from>
                  <to>
                    <xdr:col>13</xdr:col>
                    <xdr:colOff>660400</xdr:colOff>
                    <xdr:row>10</xdr:row>
                    <xdr:rowOff>165100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456" name="Check Box 312" r:id="rId22">
              <controlPr defaultSize="0">
                <anchor moveWithCells="1">
                  <from>
                    <xdr:col>13</xdr:col>
                    <xdr:colOff>533400</xdr:colOff>
                    <xdr:row>9</xdr:row>
                    <xdr:rowOff>0</xdr:rowOff>
                  </from>
                  <to>
                    <xdr:col>13</xdr:col>
                    <xdr:colOff>1282700</xdr:colOff>
                    <xdr:row>10</xdr:row>
                    <xdr:rowOff>165100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457" name="Check Box 313" r:id="rId23">
              <controlPr defaultSize="0">
                <anchor moveWithCells="1">
                  <from>
                    <xdr:col>12</xdr:col>
                    <xdr:colOff>1066800</xdr:colOff>
                    <xdr:row>10</xdr:row>
                    <xdr:rowOff>0</xdr:rowOff>
                  </from>
                  <to>
                    <xdr:col>13</xdr:col>
                    <xdr:colOff>660400</xdr:colOff>
                    <xdr:row>11</xdr:row>
                    <xdr:rowOff>165100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458" name="Check Box 314" r:id="rId24">
              <controlPr defaultSize="0">
                <anchor moveWithCells="1">
                  <from>
                    <xdr:col>13</xdr:col>
                    <xdr:colOff>533400</xdr:colOff>
                    <xdr:row>10</xdr:row>
                    <xdr:rowOff>0</xdr:rowOff>
                  </from>
                  <to>
                    <xdr:col>13</xdr:col>
                    <xdr:colOff>1282700</xdr:colOff>
                    <xdr:row>11</xdr:row>
                    <xdr:rowOff>165100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459" name="Check Box 315" r:id="rId25">
              <controlPr defaultSize="0">
                <anchor moveWithCells="1">
                  <from>
                    <xdr:col>12</xdr:col>
                    <xdr:colOff>1066800</xdr:colOff>
                    <xdr:row>11</xdr:row>
                    <xdr:rowOff>0</xdr:rowOff>
                  </from>
                  <to>
                    <xdr:col>13</xdr:col>
                    <xdr:colOff>660400</xdr:colOff>
                    <xdr:row>12</xdr:row>
                    <xdr:rowOff>165100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460" name="Check Box 316" r:id="rId26">
              <controlPr defaultSize="0">
                <anchor moveWithCells="1">
                  <from>
                    <xdr:col>13</xdr:col>
                    <xdr:colOff>533400</xdr:colOff>
                    <xdr:row>11</xdr:row>
                    <xdr:rowOff>0</xdr:rowOff>
                  </from>
                  <to>
                    <xdr:col>13</xdr:col>
                    <xdr:colOff>1282700</xdr:colOff>
                    <xdr:row>12</xdr:row>
                    <xdr:rowOff>165100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461" name="Check Box 317" r:id="rId27">
              <controlPr defaultSize="0">
                <anchor moveWithCells="1">
                  <from>
                    <xdr:col>6</xdr:col>
                    <xdr:colOff>762000</xdr:colOff>
                    <xdr:row>5</xdr:row>
                    <xdr:rowOff>0</xdr:rowOff>
                  </from>
                  <to>
                    <xdr:col>7</xdr:col>
                    <xdr:colOff>495300</xdr:colOff>
                    <xdr:row>6</xdr:row>
                    <xdr:rowOff>88900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462" name="Check Box 318" r:id="rId28">
              <controlPr defaultSize="0">
                <anchor moveWithCells="1">
                  <from>
                    <xdr:col>8</xdr:col>
                    <xdr:colOff>228600</xdr:colOff>
                    <xdr:row>5</xdr:row>
                    <xdr:rowOff>0</xdr:rowOff>
                  </from>
                  <to>
                    <xdr:col>8</xdr:col>
                    <xdr:colOff>990600</xdr:colOff>
                    <xdr:row>6</xdr:row>
                    <xdr:rowOff>165100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463" name="Check Box 319" r:id="rId29">
              <controlPr defaultSize="0">
                <anchor moveWithCells="1">
                  <from>
                    <xdr:col>9</xdr:col>
                    <xdr:colOff>952500</xdr:colOff>
                    <xdr:row>5</xdr:row>
                    <xdr:rowOff>0</xdr:rowOff>
                  </from>
                  <to>
                    <xdr:col>10</xdr:col>
                    <xdr:colOff>533400</xdr:colOff>
                    <xdr:row>6</xdr:row>
                    <xdr:rowOff>165100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464" name="Check Box 320" r:id="rId30">
              <controlPr defaultSize="0">
                <anchor moveWithCells="1">
                  <from>
                    <xdr:col>11</xdr:col>
                    <xdr:colOff>228600</xdr:colOff>
                    <xdr:row>5</xdr:row>
                    <xdr:rowOff>0</xdr:rowOff>
                  </from>
                  <to>
                    <xdr:col>11</xdr:col>
                    <xdr:colOff>990600</xdr:colOff>
                    <xdr:row>6</xdr:row>
                    <xdr:rowOff>165100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465" name="Check Box 321" r:id="rId31">
              <controlPr defaultSize="0">
                <anchor moveWithCells="1">
                  <from>
                    <xdr:col>12</xdr:col>
                    <xdr:colOff>838200</xdr:colOff>
                    <xdr:row>5</xdr:row>
                    <xdr:rowOff>0</xdr:rowOff>
                  </from>
                  <to>
                    <xdr:col>13</xdr:col>
                    <xdr:colOff>431800</xdr:colOff>
                    <xdr:row>6</xdr:row>
                    <xdr:rowOff>165100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466" name="Check Box 322" r:id="rId32">
              <controlPr defaultSize="0">
                <anchor moveWithCells="1">
                  <from>
                    <xdr:col>13</xdr:col>
                    <xdr:colOff>330200</xdr:colOff>
                    <xdr:row>5</xdr:row>
                    <xdr:rowOff>0</xdr:rowOff>
                  </from>
                  <to>
                    <xdr:col>13</xdr:col>
                    <xdr:colOff>1079500</xdr:colOff>
                    <xdr:row>6</xdr:row>
                    <xdr:rowOff>165100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15"/>
  <sheetViews>
    <sheetView zoomScale="80" zoomScaleNormal="80" workbookViewId="0">
      <selection activeCell="P22" sqref="P22"/>
    </sheetView>
  </sheetViews>
  <sheetFormatPr defaultColWidth="8.83035714285714" defaultRowHeight="16.8"/>
  <sheetData>
    <row r="1" ht="17.5" customHeight="1" spans="1:16">
      <c r="A1" s="19" t="s">
        <v>99</v>
      </c>
      <c r="B1" s="19"/>
      <c r="C1" s="19"/>
      <c r="D1" s="19"/>
      <c r="E1" s="19"/>
      <c r="F1" s="19"/>
      <c r="G1" s="19"/>
      <c r="H1" s="19"/>
      <c r="I1" s="19"/>
      <c r="J1" s="19"/>
      <c r="K1" s="19"/>
      <c r="L1" s="19"/>
      <c r="M1" s="19"/>
      <c r="N1" s="19"/>
      <c r="O1" s="19"/>
      <c r="P1" s="19"/>
    </row>
    <row r="2" ht="15" customHeight="1" spans="1:16">
      <c r="A2" s="20" t="s">
        <v>100</v>
      </c>
      <c r="B2" s="20"/>
      <c r="C2" s="20"/>
      <c r="D2" s="21" t="s">
        <v>101</v>
      </c>
      <c r="E2" s="21"/>
      <c r="F2" s="22" t="s">
        <v>102</v>
      </c>
      <c r="G2" s="22"/>
      <c r="H2" s="22"/>
      <c r="I2" s="22"/>
      <c r="J2" s="22"/>
      <c r="K2" s="23" t="s">
        <v>103</v>
      </c>
      <c r="L2" s="23"/>
      <c r="M2" s="23"/>
      <c r="N2" s="23"/>
      <c r="O2" s="23"/>
      <c r="P2" s="23"/>
    </row>
    <row r="3" ht="15" customHeight="1" spans="1:16">
      <c r="A3" s="20"/>
      <c r="B3" s="20"/>
      <c r="C3" s="20"/>
      <c r="D3" s="21"/>
      <c r="E3" s="21"/>
      <c r="F3" s="22" t="s">
        <v>104</v>
      </c>
      <c r="G3" s="22"/>
      <c r="H3" s="22" t="s">
        <v>105</v>
      </c>
      <c r="I3" s="22"/>
      <c r="J3" s="22" t="s">
        <v>106</v>
      </c>
      <c r="K3" s="23"/>
      <c r="L3" s="23"/>
      <c r="M3" s="23"/>
      <c r="N3" s="23"/>
      <c r="O3" s="23"/>
      <c r="P3" s="23"/>
    </row>
    <row r="4" spans="1:16">
      <c r="A4" s="20"/>
      <c r="B4" s="20"/>
      <c r="C4" s="20"/>
      <c r="D4" s="21" t="s">
        <v>107</v>
      </c>
      <c r="E4" s="22" t="s">
        <v>108</v>
      </c>
      <c r="F4" s="22" t="s">
        <v>101</v>
      </c>
      <c r="G4" s="22" t="s">
        <v>102</v>
      </c>
      <c r="H4" s="22" t="s">
        <v>101</v>
      </c>
      <c r="I4" s="22" t="s">
        <v>102</v>
      </c>
      <c r="J4" s="22"/>
      <c r="K4" s="24" t="s">
        <v>109</v>
      </c>
      <c r="L4" s="24" t="s">
        <v>31</v>
      </c>
      <c r="M4" s="24" t="s">
        <v>110</v>
      </c>
      <c r="N4" s="24" t="s">
        <v>111</v>
      </c>
      <c r="O4" s="24" t="s">
        <v>112</v>
      </c>
      <c r="P4" s="23" t="s">
        <v>113</v>
      </c>
    </row>
    <row r="5" ht="15" customHeight="1" spans="1:16">
      <c r="A5" s="25" t="s">
        <v>45</v>
      </c>
      <c r="B5" s="25"/>
      <c r="C5" s="26" t="s">
        <v>80</v>
      </c>
      <c r="D5" s="27" t="s">
        <v>80</v>
      </c>
      <c r="E5" s="28" t="s">
        <v>80</v>
      </c>
      <c r="F5" s="28">
        <v>0.5</v>
      </c>
      <c r="G5" s="29"/>
      <c r="H5" s="28">
        <v>0.5</v>
      </c>
      <c r="I5" s="29"/>
      <c r="J5" s="29"/>
      <c r="K5" s="30" t="s">
        <v>114</v>
      </c>
      <c r="L5" s="30"/>
      <c r="M5" s="30"/>
      <c r="N5" s="30"/>
      <c r="O5" s="30"/>
      <c r="P5" s="30"/>
    </row>
    <row r="6" ht="15" customHeight="1" spans="1:16">
      <c r="A6" s="25" t="s">
        <v>47</v>
      </c>
      <c r="B6" s="31" t="s">
        <v>48</v>
      </c>
      <c r="C6" s="26" t="s">
        <v>80</v>
      </c>
      <c r="D6" s="27" t="s">
        <v>80</v>
      </c>
      <c r="E6" s="28" t="s">
        <v>80</v>
      </c>
      <c r="F6" s="28"/>
      <c r="G6" s="29"/>
      <c r="H6" s="28"/>
      <c r="I6" s="29"/>
      <c r="J6" s="29"/>
      <c r="K6" s="30" t="s">
        <v>114</v>
      </c>
      <c r="L6" s="30"/>
      <c r="M6" s="30"/>
      <c r="N6" s="30"/>
      <c r="O6" s="30"/>
      <c r="P6" s="30"/>
    </row>
    <row r="7" ht="15" customHeight="1" spans="1:16">
      <c r="A7" s="25"/>
      <c r="B7" s="31" t="s">
        <v>115</v>
      </c>
      <c r="C7" s="26">
        <v>0.5</v>
      </c>
      <c r="D7" s="27">
        <v>0.5</v>
      </c>
      <c r="E7" s="28">
        <v>0.5</v>
      </c>
      <c r="F7" s="28"/>
      <c r="G7" s="29"/>
      <c r="H7" s="28"/>
      <c r="I7" s="29"/>
      <c r="J7" s="29"/>
      <c r="K7" s="30" t="s">
        <v>114</v>
      </c>
      <c r="L7" s="30"/>
      <c r="M7" s="30"/>
      <c r="N7" s="30"/>
      <c r="O7" s="30"/>
      <c r="P7" s="30"/>
    </row>
    <row r="8" ht="15" customHeight="1" spans="1:16">
      <c r="A8" s="25"/>
      <c r="B8" s="31" t="s">
        <v>116</v>
      </c>
      <c r="C8" s="26">
        <v>0.3</v>
      </c>
      <c r="D8" s="27"/>
      <c r="E8" s="28"/>
      <c r="F8" s="28"/>
      <c r="G8" s="29"/>
      <c r="H8" s="28"/>
      <c r="I8" s="29"/>
      <c r="J8" s="29"/>
      <c r="K8" s="30" t="s">
        <v>114</v>
      </c>
      <c r="L8" s="30"/>
      <c r="M8" s="30"/>
      <c r="N8" s="30"/>
      <c r="O8" s="30"/>
      <c r="P8" s="30"/>
    </row>
    <row r="9" ht="15" customHeight="1" spans="1:16">
      <c r="A9" s="25"/>
      <c r="B9" s="31" t="s">
        <v>117</v>
      </c>
      <c r="C9" s="26">
        <v>0.2</v>
      </c>
      <c r="D9" s="27"/>
      <c r="E9" s="28"/>
      <c r="F9" s="28"/>
      <c r="G9" s="29"/>
      <c r="H9" s="28"/>
      <c r="I9" s="29"/>
      <c r="J9" s="29"/>
      <c r="K9" s="30" t="s">
        <v>118</v>
      </c>
      <c r="L9" s="30"/>
      <c r="M9" s="30"/>
      <c r="N9" s="30"/>
      <c r="O9" s="30"/>
      <c r="P9" s="30"/>
    </row>
    <row r="10" ht="15" customHeight="1" spans="1:16">
      <c r="A10" s="25" t="s">
        <v>61</v>
      </c>
      <c r="B10" s="31" t="s">
        <v>62</v>
      </c>
      <c r="C10" s="26">
        <v>1</v>
      </c>
      <c r="D10" s="27">
        <v>0.5</v>
      </c>
      <c r="E10" s="28">
        <v>0.2</v>
      </c>
      <c r="F10" s="28">
        <v>0.2</v>
      </c>
      <c r="G10" s="29"/>
      <c r="H10" s="28">
        <v>0.8</v>
      </c>
      <c r="I10" s="29"/>
      <c r="J10" s="29"/>
      <c r="K10" s="32"/>
      <c r="L10" s="32" t="s">
        <v>119</v>
      </c>
      <c r="M10" s="32" t="s">
        <v>120</v>
      </c>
      <c r="N10" s="32" t="s">
        <v>121</v>
      </c>
      <c r="O10" s="32" t="s">
        <v>120</v>
      </c>
      <c r="P10" s="33" t="s">
        <v>122</v>
      </c>
    </row>
    <row r="11" ht="15" customHeight="1" spans="1:16">
      <c r="A11" s="25" t="s">
        <v>72</v>
      </c>
      <c r="B11" s="31" t="s">
        <v>123</v>
      </c>
      <c r="C11" s="26">
        <v>0.3</v>
      </c>
      <c r="D11" s="34" t="s">
        <v>80</v>
      </c>
      <c r="E11" s="28">
        <v>0.3</v>
      </c>
      <c r="F11" s="28"/>
      <c r="G11" s="29"/>
      <c r="H11" s="28"/>
      <c r="I11" s="29"/>
      <c r="J11" s="29"/>
      <c r="K11" s="35"/>
      <c r="L11" s="35"/>
      <c r="M11" s="35"/>
      <c r="N11" s="35"/>
      <c r="O11" s="36"/>
      <c r="P11" s="37"/>
    </row>
    <row r="12" spans="1:16">
      <c r="A12" s="25"/>
      <c r="B12" s="31" t="s">
        <v>124</v>
      </c>
      <c r="C12" s="26">
        <v>0.5</v>
      </c>
      <c r="D12" s="34"/>
      <c r="E12" s="28"/>
      <c r="F12" s="28"/>
      <c r="G12" s="29"/>
      <c r="H12" s="28"/>
      <c r="I12" s="29"/>
      <c r="J12" s="38"/>
      <c r="K12" s="35"/>
      <c r="L12" s="35"/>
      <c r="M12" s="35"/>
      <c r="N12" s="35"/>
      <c r="O12" s="32" t="s">
        <v>114</v>
      </c>
      <c r="P12" s="33" t="s">
        <v>125</v>
      </c>
    </row>
    <row r="13" spans="1:16">
      <c r="A13" s="25"/>
      <c r="B13" s="31" t="s">
        <v>126</v>
      </c>
      <c r="C13" s="26">
        <v>0.2</v>
      </c>
      <c r="D13" s="34"/>
      <c r="E13" s="28"/>
      <c r="F13" s="28"/>
      <c r="G13" s="29"/>
      <c r="H13" s="28"/>
      <c r="I13" s="29"/>
      <c r="J13" s="38"/>
      <c r="K13" s="35"/>
      <c r="L13" s="35"/>
      <c r="M13" s="35"/>
      <c r="N13" s="35"/>
      <c r="O13" s="36"/>
      <c r="P13" s="37"/>
    </row>
    <row r="14" ht="16" customHeight="1" spans="1:16">
      <c r="A14" s="39" t="s">
        <v>127</v>
      </c>
      <c r="B14" s="39"/>
      <c r="C14" s="39"/>
      <c r="D14" s="40" t="s">
        <v>128</v>
      </c>
      <c r="E14" s="40"/>
      <c r="F14" s="40"/>
      <c r="G14" s="40"/>
      <c r="H14" s="40"/>
      <c r="I14" s="41" t="s">
        <v>129</v>
      </c>
      <c r="J14" s="42"/>
      <c r="K14" s="41" t="s">
        <v>130</v>
      </c>
      <c r="L14" s="43" t="s">
        <v>131</v>
      </c>
      <c r="M14" s="43" t="s">
        <v>132</v>
      </c>
      <c r="N14" s="43" t="s">
        <v>122</v>
      </c>
      <c r="O14" s="43" t="s">
        <v>133</v>
      </c>
      <c r="P14" s="44" t="s">
        <v>134</v>
      </c>
    </row>
    <row r="15" ht="16" customHeight="1" spans="1:16">
      <c r="A15" s="39"/>
      <c r="B15" s="39"/>
      <c r="C15" s="39"/>
      <c r="D15" s="42" t="s">
        <v>135</v>
      </c>
      <c r="E15" s="42"/>
      <c r="F15" s="42"/>
      <c r="G15" s="42"/>
      <c r="H15" s="42"/>
      <c r="I15" s="41"/>
      <c r="J15" s="42"/>
      <c r="K15" s="41"/>
      <c r="L15" s="42" t="s">
        <v>136</v>
      </c>
      <c r="M15" s="41" t="s">
        <v>137</v>
      </c>
      <c r="N15" s="41" t="s">
        <v>138</v>
      </c>
      <c r="O15" s="41" t="s">
        <v>139</v>
      </c>
      <c r="P15" s="45" t="s">
        <v>140</v>
      </c>
    </row>
  </sheetData>
  <mergeCells count="30">
    <mergeCell ref="A1:P1"/>
    <mergeCell ref="F2:J2"/>
    <mergeCell ref="F3:G3"/>
    <mergeCell ref="H3:I3"/>
    <mergeCell ref="A5:B5"/>
    <mergeCell ref="K5:P5"/>
    <mergeCell ref="K6:P6"/>
    <mergeCell ref="K7:P7"/>
    <mergeCell ref="K8:P8"/>
    <mergeCell ref="K9:P9"/>
    <mergeCell ref="D14:H14"/>
    <mergeCell ref="D15:H15"/>
    <mergeCell ref="A6:A9"/>
    <mergeCell ref="A11:A13"/>
    <mergeCell ref="D7:D9"/>
    <mergeCell ref="D11:D13"/>
    <mergeCell ref="E7:E9"/>
    <mergeCell ref="E11:E13"/>
    <mergeCell ref="F5:F9"/>
    <mergeCell ref="F10:F13"/>
    <mergeCell ref="H5:H9"/>
    <mergeCell ref="H10:H13"/>
    <mergeCell ref="I14:I15"/>
    <mergeCell ref="J3:J4"/>
    <mergeCell ref="J14:J15"/>
    <mergeCell ref="K14:K15"/>
    <mergeCell ref="A14:C15"/>
    <mergeCell ref="A2:C4"/>
    <mergeCell ref="D2:E3"/>
    <mergeCell ref="K2:P3"/>
  </mergeCell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Z204"/>
  <sheetViews>
    <sheetView workbookViewId="0">
      <selection activeCell="D18" sqref="D18"/>
    </sheetView>
  </sheetViews>
  <sheetFormatPr defaultColWidth="8.83035714285714" defaultRowHeight="16.8"/>
  <cols>
    <col min="1" max="8" width="27.1607142857143" customWidth="1"/>
  </cols>
  <sheetData>
    <row r="1" ht="15" customHeight="1" spans="1:26">
      <c r="A1" s="1" t="s">
        <v>100</v>
      </c>
      <c r="B1" s="1"/>
      <c r="C1" s="1" t="s">
        <v>141</v>
      </c>
      <c r="D1" s="1" t="s">
        <v>142</v>
      </c>
      <c r="E1" s="2"/>
      <c r="F1" s="2"/>
      <c r="G1" s="3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ht="284.25" customHeight="1" spans="1:26">
      <c r="A2" s="5" t="s">
        <v>45</v>
      </c>
      <c r="B2" s="5"/>
      <c r="C2" s="6">
        <v>80</v>
      </c>
      <c r="D2" s="7" t="s">
        <v>143</v>
      </c>
      <c r="E2" s="2"/>
      <c r="F2" s="2"/>
      <c r="G2" s="3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ht="123.75" customHeight="1" spans="1:26">
      <c r="A3" s="8" t="s">
        <v>47</v>
      </c>
      <c r="B3" s="9" t="s">
        <v>48</v>
      </c>
      <c r="C3" s="9">
        <v>80</v>
      </c>
      <c r="D3" s="7" t="s">
        <v>144</v>
      </c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ht="15" customHeight="1" spans="1:26">
      <c r="A4" s="8"/>
      <c r="B4" s="10" t="s">
        <v>115</v>
      </c>
      <c r="C4" s="10">
        <v>80</v>
      </c>
      <c r="D4" s="6" t="s">
        <v>51</v>
      </c>
      <c r="E4" s="6" t="s">
        <v>53</v>
      </c>
      <c r="F4" s="6" t="s">
        <v>55</v>
      </c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ht="165" customHeight="1" spans="1:26">
      <c r="A5" s="8"/>
      <c r="B5" s="10"/>
      <c r="C5" s="10"/>
      <c r="D5" s="11" t="s">
        <v>145</v>
      </c>
      <c r="E5" s="12" t="s">
        <v>146</v>
      </c>
      <c r="F5" s="11" t="s">
        <v>147</v>
      </c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ht="179" customHeight="1" spans="1:26">
      <c r="A6" s="8"/>
      <c r="B6" s="10" t="s">
        <v>117</v>
      </c>
      <c r="C6" s="13">
        <v>70</v>
      </c>
      <c r="D6" s="11" t="s">
        <v>148</v>
      </c>
      <c r="E6" s="14"/>
      <c r="F6" s="1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ht="405" customHeight="1" spans="1:26">
      <c r="A7" s="8"/>
      <c r="B7" s="10" t="s">
        <v>116</v>
      </c>
      <c r="C7" s="13">
        <v>80</v>
      </c>
      <c r="D7" s="11" t="s">
        <v>149</v>
      </c>
      <c r="E7" s="14"/>
      <c r="F7" s="1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ht="15" customHeight="1" spans="1:26">
      <c r="A8" s="8" t="s">
        <v>61</v>
      </c>
      <c r="B8" s="10" t="s">
        <v>62</v>
      </c>
      <c r="C8" s="13">
        <v>60</v>
      </c>
      <c r="D8" s="5" t="s">
        <v>69</v>
      </c>
      <c r="E8" s="5" t="s">
        <v>63</v>
      </c>
      <c r="F8" s="5" t="s">
        <v>66</v>
      </c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ht="82" spans="1:26">
      <c r="A9" s="8"/>
      <c r="B9" s="10"/>
      <c r="C9" s="13"/>
      <c r="D9" s="11" t="s">
        <v>150</v>
      </c>
      <c r="E9" s="11" t="s">
        <v>151</v>
      </c>
      <c r="F9" s="11" t="s">
        <v>152</v>
      </c>
      <c r="G9" s="3"/>
      <c r="H9" s="3"/>
      <c r="I9" s="3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ht="96" spans="1:26">
      <c r="A10" s="8"/>
      <c r="B10" s="15" t="s">
        <v>153</v>
      </c>
      <c r="C10" s="15" t="s">
        <v>80</v>
      </c>
      <c r="D10" s="16" t="s">
        <v>154</v>
      </c>
      <c r="E10" s="4"/>
      <c r="F10" s="14"/>
      <c r="G10" s="3"/>
      <c r="H10" s="3"/>
      <c r="I10" s="3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ht="82" spans="1:26">
      <c r="A11" s="8"/>
      <c r="B11" s="10" t="s">
        <v>155</v>
      </c>
      <c r="C11" s="10" t="s">
        <v>80</v>
      </c>
      <c r="D11" s="11" t="s">
        <v>156</v>
      </c>
      <c r="E11" s="4"/>
      <c r="F11" s="14"/>
      <c r="G11" s="3"/>
      <c r="H11" s="3"/>
      <c r="I11" s="3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ht="150" spans="1:26">
      <c r="A12" s="8"/>
      <c r="B12" s="10" t="s">
        <v>157</v>
      </c>
      <c r="C12" s="10" t="s">
        <v>80</v>
      </c>
      <c r="D12" s="11" t="s">
        <v>158</v>
      </c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ht="185.25" customHeight="1" spans="1:26">
      <c r="A13" s="8" t="s">
        <v>72</v>
      </c>
      <c r="B13" s="10" t="s">
        <v>124</v>
      </c>
      <c r="C13" s="10">
        <v>80</v>
      </c>
      <c r="D13" s="11" t="s">
        <v>159</v>
      </c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ht="218" spans="1:26">
      <c r="A14" s="8"/>
      <c r="B14" s="10" t="s">
        <v>123</v>
      </c>
      <c r="C14" s="10" t="s">
        <v>80</v>
      </c>
      <c r="D14" s="11" t="s">
        <v>160</v>
      </c>
      <c r="E14" s="4"/>
      <c r="F14" s="3"/>
      <c r="G14" s="3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ht="218" spans="1:26">
      <c r="A15" s="8"/>
      <c r="B15" s="10" t="s">
        <v>161</v>
      </c>
      <c r="C15" s="10" t="s">
        <v>80</v>
      </c>
      <c r="D15" s="11" t="s">
        <v>162</v>
      </c>
      <c r="E15" s="4"/>
      <c r="F15" s="3"/>
      <c r="G15" s="3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ht="13.75" customHeight="1" spans="1:26">
      <c r="A16" s="8" t="s">
        <v>79</v>
      </c>
      <c r="B16" s="8"/>
      <c r="C16" s="15" t="s">
        <v>163</v>
      </c>
      <c r="D16" s="17" t="s">
        <v>108</v>
      </c>
      <c r="E16" s="5" t="s">
        <v>107</v>
      </c>
      <c r="F16" s="5" t="s">
        <v>164</v>
      </c>
      <c r="G16" s="3"/>
      <c r="H16" s="3"/>
      <c r="I16" s="3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ht="68" spans="1:26">
      <c r="A17" s="8"/>
      <c r="B17" s="8"/>
      <c r="C17" s="15"/>
      <c r="D17" s="11" t="s">
        <v>165</v>
      </c>
      <c r="E17" s="11" t="s">
        <v>165</v>
      </c>
      <c r="F17" s="11" t="s">
        <v>166</v>
      </c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spans="1:26">
      <c r="A18" s="18"/>
      <c r="B18" s="18"/>
      <c r="C18" s="18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spans="1:26">
      <c r="A19" s="18"/>
      <c r="B19" s="18"/>
      <c r="C19" s="18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spans="1:26">
      <c r="A20" s="18"/>
      <c r="B20" s="18"/>
      <c r="C20" s="18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spans="1:26">
      <c r="A21" s="18"/>
      <c r="B21" s="18"/>
      <c r="C21" s="18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spans="1:26">
      <c r="A22" s="18"/>
      <c r="B22" s="18"/>
      <c r="C22" s="18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spans="1:26">
      <c r="A23" s="18"/>
      <c r="B23" s="18"/>
      <c r="C23" s="18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spans="1:26">
      <c r="A24" s="18"/>
      <c r="B24" s="18"/>
      <c r="C24" s="18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spans="1:26">
      <c r="A25" s="18"/>
      <c r="B25" s="18"/>
      <c r="C25" s="18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spans="1:26">
      <c r="A26" s="18"/>
      <c r="B26" s="18"/>
      <c r="C26" s="18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spans="1:26">
      <c r="A27" s="18"/>
      <c r="B27" s="18"/>
      <c r="C27" s="18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spans="1:26">
      <c r="A28" s="18"/>
      <c r="B28" s="18"/>
      <c r="C28" s="18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spans="1:26">
      <c r="A29" s="18"/>
      <c r="B29" s="18"/>
      <c r="C29" s="18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spans="1:26">
      <c r="A30" s="18"/>
      <c r="B30" s="18"/>
      <c r="C30" s="18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spans="1:26">
      <c r="A31" s="18"/>
      <c r="B31" s="18"/>
      <c r="C31" s="18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spans="1:26">
      <c r="A32" s="18"/>
      <c r="B32" s="18"/>
      <c r="C32" s="18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spans="1:26">
      <c r="A33" s="18"/>
      <c r="B33" s="18"/>
      <c r="C33" s="18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spans="1:26">
      <c r="A34" s="18"/>
      <c r="B34" s="18"/>
      <c r="C34" s="18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spans="1:26">
      <c r="A35" s="18"/>
      <c r="B35" s="18"/>
      <c r="C35" s="18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spans="1:26">
      <c r="A36" s="18"/>
      <c r="B36" s="18"/>
      <c r="C36" s="18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spans="1:26">
      <c r="A37" s="18"/>
      <c r="B37" s="18"/>
      <c r="C37" s="18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spans="1:26">
      <c r="A38" s="18"/>
      <c r="B38" s="18"/>
      <c r="C38" s="18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spans="1:26">
      <c r="A39" s="18"/>
      <c r="B39" s="18"/>
      <c r="C39" s="18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spans="1:26">
      <c r="A40" s="18"/>
      <c r="B40" s="18"/>
      <c r="C40" s="18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spans="1:26">
      <c r="A41" s="18"/>
      <c r="B41" s="18"/>
      <c r="C41" s="18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spans="1:26">
      <c r="A42" s="18"/>
      <c r="B42" s="18"/>
      <c r="C42" s="18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spans="1:26">
      <c r="A43" s="18"/>
      <c r="B43" s="18"/>
      <c r="C43" s="18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spans="1:26">
      <c r="A44" s="18"/>
      <c r="B44" s="18"/>
      <c r="C44" s="18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spans="1:26">
      <c r="A45" s="18"/>
      <c r="B45" s="18"/>
      <c r="C45" s="18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spans="1:26">
      <c r="A46" s="18"/>
      <c r="B46" s="18"/>
      <c r="C46" s="18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spans="1:26">
      <c r="A47" s="18"/>
      <c r="B47" s="18"/>
      <c r="C47" s="18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spans="1:26">
      <c r="A48" s="18"/>
      <c r="B48" s="18"/>
      <c r="C48" s="18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spans="1:26">
      <c r="A49" s="18"/>
      <c r="B49" s="18"/>
      <c r="C49" s="18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spans="1:26">
      <c r="A50" s="18"/>
      <c r="B50" s="18"/>
      <c r="C50" s="18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spans="1:26">
      <c r="A51" s="18"/>
      <c r="B51" s="18"/>
      <c r="C51" s="18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spans="1:26">
      <c r="A52" s="18"/>
      <c r="B52" s="18"/>
      <c r="C52" s="18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spans="1:26">
      <c r="A53" s="18"/>
      <c r="B53" s="18"/>
      <c r="C53" s="18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spans="1:26">
      <c r="A54" s="18"/>
      <c r="B54" s="18"/>
      <c r="C54" s="18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spans="1:26">
      <c r="A55" s="18"/>
      <c r="B55" s="18"/>
      <c r="C55" s="18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spans="1:26">
      <c r="A56" s="18"/>
      <c r="B56" s="18"/>
      <c r="C56" s="18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spans="1:26">
      <c r="A57" s="18"/>
      <c r="B57" s="18"/>
      <c r="C57" s="18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spans="1:26">
      <c r="A58" s="18"/>
      <c r="B58" s="18"/>
      <c r="C58" s="18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spans="1:26">
      <c r="A59" s="18"/>
      <c r="B59" s="18"/>
      <c r="C59" s="18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spans="1:26">
      <c r="A60" s="18"/>
      <c r="B60" s="18"/>
      <c r="C60" s="18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spans="1:26">
      <c r="A61" s="18"/>
      <c r="B61" s="18"/>
      <c r="C61" s="18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spans="1:26">
      <c r="A62" s="18"/>
      <c r="B62" s="18"/>
      <c r="C62" s="18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spans="1:26">
      <c r="A63" s="18"/>
      <c r="B63" s="18"/>
      <c r="C63" s="18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spans="1:26">
      <c r="A64" s="18"/>
      <c r="B64" s="18"/>
      <c r="C64" s="18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spans="1:26">
      <c r="A65" s="18"/>
      <c r="B65" s="18"/>
      <c r="C65" s="18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spans="1:26">
      <c r="A66" s="18"/>
      <c r="B66" s="18"/>
      <c r="C66" s="18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spans="1:26">
      <c r="A67" s="18"/>
      <c r="B67" s="18"/>
      <c r="C67" s="18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spans="1:26">
      <c r="A68" s="18"/>
      <c r="B68" s="18"/>
      <c r="C68" s="18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spans="1:26">
      <c r="A69" s="18"/>
      <c r="B69" s="18"/>
      <c r="C69" s="18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spans="1:26">
      <c r="A70" s="18"/>
      <c r="B70" s="18"/>
      <c r="C70" s="18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spans="1:26">
      <c r="A71" s="18"/>
      <c r="B71" s="18"/>
      <c r="C71" s="18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spans="1:26">
      <c r="A72" s="18"/>
      <c r="B72" s="18"/>
      <c r="C72" s="18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spans="1:26">
      <c r="A73" s="18"/>
      <c r="B73" s="18"/>
      <c r="C73" s="18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spans="1:26">
      <c r="A74" s="18"/>
      <c r="B74" s="18"/>
      <c r="C74" s="18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spans="1:26">
      <c r="A75" s="18"/>
      <c r="B75" s="18"/>
      <c r="C75" s="18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spans="1:26">
      <c r="A76" s="18"/>
      <c r="B76" s="18"/>
      <c r="C76" s="18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spans="1:26">
      <c r="A77" s="18"/>
      <c r="B77" s="18"/>
      <c r="C77" s="18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spans="1:26">
      <c r="A78" s="18"/>
      <c r="B78" s="18"/>
      <c r="C78" s="18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spans="1:26">
      <c r="A79" s="18"/>
      <c r="B79" s="18"/>
      <c r="C79" s="18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spans="1:26">
      <c r="A80" s="18"/>
      <c r="B80" s="18"/>
      <c r="C80" s="18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spans="1:26">
      <c r="A81" s="18"/>
      <c r="B81" s="18"/>
      <c r="C81" s="18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spans="1:26">
      <c r="A82" s="18"/>
      <c r="B82" s="18"/>
      <c r="C82" s="18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spans="1:26">
      <c r="A83" s="18"/>
      <c r="B83" s="18"/>
      <c r="C83" s="18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spans="1:26">
      <c r="A84" s="18"/>
      <c r="B84" s="18"/>
      <c r="C84" s="18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spans="1:26">
      <c r="A85" s="18"/>
      <c r="B85" s="18"/>
      <c r="C85" s="18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spans="1:26">
      <c r="A86" s="18"/>
      <c r="B86" s="18"/>
      <c r="C86" s="18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spans="1:26">
      <c r="A87" s="18"/>
      <c r="B87" s="18"/>
      <c r="C87" s="18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spans="1:26">
      <c r="A88" s="18"/>
      <c r="B88" s="18"/>
      <c r="C88" s="18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spans="1:26">
      <c r="A89" s="18"/>
      <c r="B89" s="18"/>
      <c r="C89" s="18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spans="1:26">
      <c r="A90" s="18"/>
      <c r="B90" s="18"/>
      <c r="C90" s="18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spans="1:26">
      <c r="A91" s="18"/>
      <c r="B91" s="18"/>
      <c r="C91" s="18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spans="1:26">
      <c r="A92" s="18"/>
      <c r="B92" s="18"/>
      <c r="C92" s="18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spans="1:26">
      <c r="A93" s="18"/>
      <c r="B93" s="18"/>
      <c r="C93" s="18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spans="1:26">
      <c r="A94" s="18"/>
      <c r="B94" s="18"/>
      <c r="C94" s="18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spans="1:26">
      <c r="A95" s="18"/>
      <c r="B95" s="18"/>
      <c r="C95" s="18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spans="1:26">
      <c r="A96" s="18"/>
      <c r="B96" s="18"/>
      <c r="C96" s="18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spans="1:26">
      <c r="A97" s="18"/>
      <c r="B97" s="18"/>
      <c r="C97" s="18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spans="1:26">
      <c r="A98" s="18"/>
      <c r="B98" s="18"/>
      <c r="C98" s="18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spans="1:26">
      <c r="A99" s="18"/>
      <c r="B99" s="18"/>
      <c r="C99" s="18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spans="1:26">
      <c r="A100" s="18"/>
      <c r="B100" s="18"/>
      <c r="C100" s="18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spans="1:26">
      <c r="A101" s="18"/>
      <c r="B101" s="18"/>
      <c r="C101" s="18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spans="1:26">
      <c r="A102" s="18"/>
      <c r="B102" s="18"/>
      <c r="C102" s="18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spans="1:26">
      <c r="A103" s="18"/>
      <c r="B103" s="18"/>
      <c r="C103" s="18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spans="1:26">
      <c r="A104" s="18"/>
      <c r="B104" s="18"/>
      <c r="C104" s="18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spans="1:26">
      <c r="A105" s="18"/>
      <c r="B105" s="18"/>
      <c r="C105" s="18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spans="1:26">
      <c r="A106" s="18"/>
      <c r="B106" s="18"/>
      <c r="C106" s="18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spans="1:26">
      <c r="A107" s="18"/>
      <c r="B107" s="18"/>
      <c r="C107" s="18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spans="1:26">
      <c r="A108" s="18"/>
      <c r="B108" s="18"/>
      <c r="C108" s="18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spans="1:26">
      <c r="A109" s="18"/>
      <c r="B109" s="18"/>
      <c r="C109" s="18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spans="1:26">
      <c r="A110" s="18"/>
      <c r="B110" s="18"/>
      <c r="C110" s="18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spans="1:26">
      <c r="A111" s="18"/>
      <c r="B111" s="18"/>
      <c r="C111" s="18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spans="1:26">
      <c r="A112" s="18"/>
      <c r="B112" s="18"/>
      <c r="C112" s="18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spans="1:26">
      <c r="A113" s="18"/>
      <c r="B113" s="18"/>
      <c r="C113" s="18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spans="1:26">
      <c r="A114" s="18"/>
      <c r="B114" s="18"/>
      <c r="C114" s="18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spans="1:26">
      <c r="A115" s="18"/>
      <c r="B115" s="18"/>
      <c r="C115" s="18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spans="1:26">
      <c r="A116" s="18"/>
      <c r="B116" s="18"/>
      <c r="C116" s="18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spans="1:26">
      <c r="A117" s="18"/>
      <c r="B117" s="18"/>
      <c r="C117" s="18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spans="1:26">
      <c r="A118" s="18"/>
      <c r="B118" s="18"/>
      <c r="C118" s="18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spans="1:26">
      <c r="A119" s="18"/>
      <c r="B119" s="18"/>
      <c r="C119" s="18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spans="1:26">
      <c r="A120" s="18"/>
      <c r="B120" s="18"/>
      <c r="C120" s="18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spans="1:26">
      <c r="A121" s="18"/>
      <c r="B121" s="18"/>
      <c r="C121" s="18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spans="1:26">
      <c r="A122" s="18"/>
      <c r="B122" s="18"/>
      <c r="C122" s="18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spans="1:26">
      <c r="A123" s="18"/>
      <c r="B123" s="18"/>
      <c r="C123" s="18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spans="1:26">
      <c r="A124" s="18"/>
      <c r="B124" s="18"/>
      <c r="C124" s="18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spans="1:26">
      <c r="A125" s="18"/>
      <c r="B125" s="18"/>
      <c r="C125" s="18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spans="1:26">
      <c r="A126" s="18"/>
      <c r="B126" s="18"/>
      <c r="C126" s="18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spans="1:26">
      <c r="A127" s="18"/>
      <c r="B127" s="18"/>
      <c r="C127" s="18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spans="1:26">
      <c r="A128" s="18"/>
      <c r="B128" s="18"/>
      <c r="C128" s="18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spans="1:26">
      <c r="A129" s="18"/>
      <c r="B129" s="18"/>
      <c r="C129" s="18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spans="1:26">
      <c r="A130" s="18"/>
      <c r="B130" s="18"/>
      <c r="C130" s="18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spans="1:26">
      <c r="A131" s="18"/>
      <c r="B131" s="18"/>
      <c r="C131" s="18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spans="1:26">
      <c r="A132" s="18"/>
      <c r="B132" s="18"/>
      <c r="C132" s="18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spans="1:26">
      <c r="A133" s="18"/>
      <c r="B133" s="18"/>
      <c r="C133" s="18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spans="1:26">
      <c r="A134" s="18"/>
      <c r="B134" s="18"/>
      <c r="C134" s="18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spans="1:26">
      <c r="A135" s="18"/>
      <c r="B135" s="18"/>
      <c r="C135" s="18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spans="1:26">
      <c r="A136" s="18"/>
      <c r="B136" s="18"/>
      <c r="C136" s="18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spans="1:26">
      <c r="A137" s="18"/>
      <c r="B137" s="18"/>
      <c r="C137" s="18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spans="1:26">
      <c r="A138" s="18"/>
      <c r="B138" s="18"/>
      <c r="C138" s="18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spans="1:26">
      <c r="A139" s="18"/>
      <c r="B139" s="18"/>
      <c r="C139" s="18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spans="1:26">
      <c r="A140" s="18"/>
      <c r="B140" s="18"/>
      <c r="C140" s="18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spans="1:26">
      <c r="A141" s="18"/>
      <c r="B141" s="18"/>
      <c r="C141" s="18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spans="1:26">
      <c r="A142" s="18"/>
      <c r="B142" s="18"/>
      <c r="C142" s="18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spans="1:26">
      <c r="A143" s="18"/>
      <c r="B143" s="18"/>
      <c r="C143" s="18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spans="1:26">
      <c r="A144" s="18"/>
      <c r="B144" s="18"/>
      <c r="C144" s="18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spans="1:26">
      <c r="A145" s="18"/>
      <c r="B145" s="18"/>
      <c r="C145" s="18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spans="1:26">
      <c r="A146" s="18"/>
      <c r="B146" s="18"/>
      <c r="C146" s="18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spans="1:26">
      <c r="A147" s="18"/>
      <c r="B147" s="18"/>
      <c r="C147" s="18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spans="1:26">
      <c r="A148" s="18"/>
      <c r="B148" s="18"/>
      <c r="C148" s="18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spans="1:26">
      <c r="A149" s="18"/>
      <c r="B149" s="18"/>
      <c r="C149" s="18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spans="1:26">
      <c r="A150" s="18"/>
      <c r="B150" s="18"/>
      <c r="C150" s="18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spans="1:26">
      <c r="A151" s="18"/>
      <c r="B151" s="18"/>
      <c r="C151" s="18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spans="1:26">
      <c r="A152" s="18"/>
      <c r="B152" s="18"/>
      <c r="C152" s="18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spans="1:26">
      <c r="A153" s="18"/>
      <c r="B153" s="18"/>
      <c r="C153" s="18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spans="1:26">
      <c r="A154" s="18"/>
      <c r="B154" s="18"/>
      <c r="C154" s="18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spans="1:26">
      <c r="A155" s="18"/>
      <c r="B155" s="18"/>
      <c r="C155" s="18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spans="1:26">
      <c r="A156" s="18"/>
      <c r="B156" s="18"/>
      <c r="C156" s="18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spans="1:26">
      <c r="A157" s="18"/>
      <c r="B157" s="18"/>
      <c r="C157" s="18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spans="1:26">
      <c r="A158" s="18"/>
      <c r="B158" s="18"/>
      <c r="C158" s="18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spans="1:26">
      <c r="A159" s="18"/>
      <c r="B159" s="18"/>
      <c r="C159" s="18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spans="1:26">
      <c r="A160" s="18"/>
      <c r="B160" s="18"/>
      <c r="C160" s="18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spans="1:26">
      <c r="A161" s="18"/>
      <c r="B161" s="18"/>
      <c r="C161" s="18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spans="1:26">
      <c r="A162" s="18"/>
      <c r="B162" s="18"/>
      <c r="C162" s="18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spans="1:26">
      <c r="A163" s="18"/>
      <c r="B163" s="18"/>
      <c r="C163" s="18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spans="1:26">
      <c r="A164" s="18"/>
      <c r="B164" s="18"/>
      <c r="C164" s="18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spans="1:26">
      <c r="A165" s="18"/>
      <c r="B165" s="18"/>
      <c r="C165" s="18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spans="1:26">
      <c r="A166" s="18"/>
      <c r="B166" s="18"/>
      <c r="C166" s="18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spans="1:26">
      <c r="A167" s="18"/>
      <c r="B167" s="18"/>
      <c r="C167" s="18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spans="1:26">
      <c r="A168" s="18"/>
      <c r="B168" s="18"/>
      <c r="C168" s="18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spans="1:26">
      <c r="A169" s="18"/>
      <c r="B169" s="18"/>
      <c r="C169" s="18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spans="1:26">
      <c r="A170" s="18"/>
      <c r="B170" s="18"/>
      <c r="C170" s="18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spans="1:26">
      <c r="A171" s="18"/>
      <c r="B171" s="18"/>
      <c r="C171" s="18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spans="1:26">
      <c r="A172" s="18"/>
      <c r="B172" s="18"/>
      <c r="C172" s="18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spans="1:26">
      <c r="A173" s="18"/>
      <c r="B173" s="18"/>
      <c r="C173" s="18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spans="1:26">
      <c r="A174" s="18"/>
      <c r="B174" s="18"/>
      <c r="C174" s="18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spans="1:26">
      <c r="A175" s="18"/>
      <c r="B175" s="18"/>
      <c r="C175" s="18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spans="1:26">
      <c r="A176" s="18"/>
      <c r="B176" s="18"/>
      <c r="C176" s="18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spans="1:26">
      <c r="A177" s="18"/>
      <c r="B177" s="18"/>
      <c r="C177" s="18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spans="1:26">
      <c r="A178" s="18"/>
      <c r="B178" s="18"/>
      <c r="C178" s="18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spans="1:26">
      <c r="A179" s="18"/>
      <c r="B179" s="18"/>
      <c r="C179" s="18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spans="1:26">
      <c r="A180" s="18"/>
      <c r="B180" s="18"/>
      <c r="C180" s="18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spans="1:26">
      <c r="A181" s="18"/>
      <c r="B181" s="18"/>
      <c r="C181" s="18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spans="1:26">
      <c r="A182" s="18"/>
      <c r="B182" s="18"/>
      <c r="C182" s="18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spans="1:26">
      <c r="A183" s="18"/>
      <c r="B183" s="18"/>
      <c r="C183" s="18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spans="1:26">
      <c r="A184" s="18"/>
      <c r="B184" s="18"/>
      <c r="C184" s="18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spans="1:26">
      <c r="A185" s="18"/>
      <c r="B185" s="18"/>
      <c r="C185" s="18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spans="1:26">
      <c r="A186" s="18"/>
      <c r="B186" s="18"/>
      <c r="C186" s="18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spans="1:26">
      <c r="A187" s="18"/>
      <c r="B187" s="18"/>
      <c r="C187" s="18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spans="1:26">
      <c r="A188" s="18"/>
      <c r="B188" s="18"/>
      <c r="C188" s="18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spans="1:26">
      <c r="A189" s="18"/>
      <c r="B189" s="18"/>
      <c r="C189" s="18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spans="1:26">
      <c r="A190" s="18"/>
      <c r="B190" s="18"/>
      <c r="C190" s="18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spans="1:26">
      <c r="A191" s="18"/>
      <c r="B191" s="18"/>
      <c r="C191" s="18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spans="1:26">
      <c r="A192" s="18"/>
      <c r="B192" s="18"/>
      <c r="C192" s="18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spans="1:26">
      <c r="A193" s="18"/>
      <c r="B193" s="18"/>
      <c r="C193" s="18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spans="1:26">
      <c r="A194" s="18"/>
      <c r="B194" s="18"/>
      <c r="C194" s="18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spans="1:26">
      <c r="A195" s="18"/>
      <c r="B195" s="18"/>
      <c r="C195" s="18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spans="1:26">
      <c r="A196" s="18"/>
      <c r="B196" s="18"/>
      <c r="C196" s="18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spans="1:26">
      <c r="A197" s="18"/>
      <c r="B197" s="18"/>
      <c r="C197" s="18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spans="1:26">
      <c r="A198" s="18"/>
      <c r="B198" s="18"/>
      <c r="C198" s="18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spans="1:26">
      <c r="A199" s="18"/>
      <c r="B199" s="18"/>
      <c r="C199" s="18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spans="1:26">
      <c r="A200" s="18"/>
      <c r="B200" s="18"/>
      <c r="C200" s="18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spans="1:26">
      <c r="A201" s="18"/>
      <c r="B201" s="18"/>
      <c r="C201" s="18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spans="1:26">
      <c r="A202" s="18"/>
      <c r="B202" s="18"/>
      <c r="C202" s="18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spans="1:26">
      <c r="A203" s="18"/>
      <c r="B203" s="18"/>
      <c r="C203" s="18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spans="1:26">
      <c r="A204" s="18"/>
      <c r="B204" s="18"/>
      <c r="C204" s="18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</sheetData>
  <mergeCells count="11">
    <mergeCell ref="A1:B1"/>
    <mergeCell ref="A2:B2"/>
    <mergeCell ref="A3:A7"/>
    <mergeCell ref="A8:A12"/>
    <mergeCell ref="A13:A15"/>
    <mergeCell ref="B4:B5"/>
    <mergeCell ref="B8:B9"/>
    <mergeCell ref="C4:C5"/>
    <mergeCell ref="C8:C9"/>
    <mergeCell ref="C16:C17"/>
    <mergeCell ref="A16:B17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服务岗位面试评价表</vt:lpstr>
      <vt:lpstr>录用规则</vt:lpstr>
      <vt:lpstr>评分标准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kimodi</dc:creator>
  <cp:lastModifiedBy>没人爱</cp:lastModifiedBy>
  <dcterms:created xsi:type="dcterms:W3CDTF">2015-06-25T10:17:00Z</dcterms:created>
  <cp:lastPrinted>2022-04-11T02:51:00Z</cp:lastPrinted>
  <dcterms:modified xsi:type="dcterms:W3CDTF">2026-05-20T16:27:59Z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08CF58F621C6FF0B8F700D6AEC9DAC0E_43</vt:lpwstr>
  </property>
  <property fmtid="{D5CDD505-2E9C-101B-9397-08002B2CF9AE}" pid="3" name="KSOProductBuildVer">
    <vt:lpwstr>2052-12.1.24031.24031</vt:lpwstr>
  </property>
  <property fmtid="{D5CDD505-2E9C-101B-9397-08002B2CF9AE}" pid="4" name="CalculationRule">
    <vt:i4>0</vt:i4>
  </property>
</Properties>
</file>